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.xml" ContentType="application/vnd.ms-office.chartcolorstyle+xml"/>
  <Override PartName="/xl/charts/style2.xml" ContentType="application/vnd.ms-office.chartstyle+xml"/>
  <Override PartName="/xl/worksheets/sheet1.xml" ContentType="application/vnd.openxmlformats-officedocument.spreadsheetml.workshee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charts/style1.xml" ContentType="application/vnd.ms-office.chartstyle+xml"/>
  <Override PartName="/xl/theme/theme1.xml" ContentType="application/vnd.openxmlformats-officedocument.them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olors1.xml" ContentType="application/vnd.ms-office.chartcolorstyle+xml"/>
  <Override PartName="/xl/activeX/activeX2.xml" ContentType="application/vnd.ms-office.activeX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01 - TEAM F&amp;A\01 - F&amp;A - AC\Team -templates\Performance card\"/>
    </mc:Choice>
  </mc:AlternateContent>
  <bookViews>
    <workbookView xWindow="0" yWindow="0" windowWidth="20490" windowHeight="7755"/>
  </bookViews>
  <sheets>
    <sheet name="Legend" sheetId="9" r:id="rId1"/>
    <sheet name="Reviewer's report" sheetId="1" r:id="rId2"/>
    <sheet name="AC Report" sheetId="6" r:id="rId3"/>
    <sheet name="Spotchecks-QA audit" sheetId="7" r:id="rId4"/>
    <sheet name="AC Report-Final" sheetId="8" r:id="rId5"/>
    <sheet name="Report 2" sheetId="4" state="hidden" r:id="rId6"/>
    <sheet name="Unhidden" sheetId="5" state="hidden" r:id="rId7"/>
  </sheets>
  <definedNames>
    <definedName name="_xlnm._FilterDatabase" localSheetId="2" hidden="1">'AC Report'!$B$26:$H$26</definedName>
    <definedName name="_xlnm._FilterDatabase" localSheetId="4" hidden="1">'AC Report-Final'!$B$26:$H$26</definedName>
  </definedNames>
  <calcPr calcId="152511" concurrentCalc="0"/>
</workbook>
</file>

<file path=xl/calcChain.xml><?xml version="1.0" encoding="utf-8"?>
<calcChain xmlns="http://schemas.openxmlformats.org/spreadsheetml/2006/main">
  <c r="AN5" i="1" l="1"/>
  <c r="AL5" i="7"/>
  <c r="AL6" i="7"/>
  <c r="AL7" i="7"/>
  <c r="AL8" i="7"/>
  <c r="AL9" i="7"/>
  <c r="AL13" i="7"/>
  <c r="AL14" i="7"/>
  <c r="AL17" i="7"/>
  <c r="AL23" i="7"/>
  <c r="AL18" i="7"/>
  <c r="AL19" i="7"/>
  <c r="AL20" i="7"/>
  <c r="AL21" i="7"/>
  <c r="AL27" i="7"/>
  <c r="AN5" i="7"/>
  <c r="L13" i="1"/>
  <c r="E13" i="7"/>
  <c r="E13" i="1"/>
  <c r="AJ27" i="7"/>
  <c r="AS27" i="7"/>
  <c r="AK27" i="7"/>
  <c r="AS5" i="7"/>
  <c r="AK5" i="7"/>
  <c r="AS6" i="7"/>
  <c r="AK6" i="7"/>
  <c r="AS7" i="7"/>
  <c r="AK7" i="7"/>
  <c r="AS8" i="7"/>
  <c r="AK8" i="7"/>
  <c r="AS9" i="7"/>
  <c r="AK9" i="7"/>
  <c r="AS10" i="7"/>
  <c r="AK10" i="7"/>
  <c r="AS11" i="7"/>
  <c r="AK11" i="7"/>
  <c r="AS12" i="7"/>
  <c r="AK12" i="7"/>
  <c r="AS13" i="7"/>
  <c r="AK13" i="7"/>
  <c r="AS14" i="7"/>
  <c r="AK14" i="7"/>
  <c r="AS15" i="7"/>
  <c r="AK15" i="7"/>
  <c r="AS16" i="7"/>
  <c r="AK16" i="7"/>
  <c r="AS17" i="7"/>
  <c r="AK17" i="7"/>
  <c r="AS18" i="7"/>
  <c r="AK18" i="7"/>
  <c r="AS19" i="7"/>
  <c r="AK19" i="7"/>
  <c r="AS20" i="7"/>
  <c r="AK20" i="7"/>
  <c r="AS21" i="7"/>
  <c r="AK21" i="7"/>
  <c r="AS22" i="7"/>
  <c r="AK22" i="7"/>
  <c r="AS23" i="7"/>
  <c r="AK23" i="7"/>
  <c r="AS24" i="7"/>
  <c r="AK24" i="7"/>
  <c r="AS25" i="7"/>
  <c r="AK25" i="7"/>
  <c r="AS26" i="7"/>
  <c r="AK26" i="7"/>
  <c r="AS28" i="7"/>
  <c r="AK28" i="7"/>
  <c r="E12" i="7"/>
  <c r="AJ27" i="1"/>
  <c r="AS27" i="1"/>
  <c r="AK27" i="1"/>
  <c r="E12" i="1"/>
  <c r="AL26" i="7"/>
  <c r="AK2" i="7"/>
  <c r="A37" i="7"/>
  <c r="AL7" i="1"/>
  <c r="AL9" i="1"/>
  <c r="AL13" i="1"/>
  <c r="AL26" i="1"/>
  <c r="AS7" i="1"/>
  <c r="AK7" i="1"/>
  <c r="AS9" i="1"/>
  <c r="AK9" i="1"/>
  <c r="AS13" i="1"/>
  <c r="AK13" i="1"/>
  <c r="AS26" i="1"/>
  <c r="AK26" i="1"/>
  <c r="AK2" i="1"/>
  <c r="A37" i="1"/>
  <c r="A1" i="7"/>
  <c r="A1" i="1"/>
  <c r="AJ26" i="1"/>
  <c r="AJ26" i="7"/>
  <c r="AL10" i="7"/>
  <c r="AL11" i="7"/>
  <c r="AL12" i="7"/>
  <c r="AL15" i="7"/>
  <c r="AL16" i="7"/>
  <c r="AL22" i="7"/>
  <c r="AL24" i="7"/>
  <c r="AJ25" i="7"/>
  <c r="AL25" i="7"/>
  <c r="AJ28" i="7"/>
  <c r="AL28" i="7"/>
  <c r="AL5" i="1"/>
  <c r="AL6" i="1"/>
  <c r="AL8" i="1"/>
  <c r="AL10" i="1"/>
  <c r="AL11" i="1"/>
  <c r="AL12" i="1"/>
  <c r="AL14" i="1"/>
  <c r="AL15" i="1"/>
  <c r="AL16" i="1"/>
  <c r="AL17" i="1"/>
  <c r="AL18" i="1"/>
  <c r="AL19" i="1"/>
  <c r="AL20" i="1"/>
  <c r="AL21" i="1"/>
  <c r="AL22" i="1"/>
  <c r="AL23" i="1"/>
  <c r="AL24" i="1"/>
  <c r="AJ25" i="1"/>
  <c r="AL25" i="1"/>
  <c r="AL27" i="1"/>
  <c r="AJ28" i="1"/>
  <c r="AL28" i="1"/>
  <c r="AS5" i="1"/>
  <c r="AK5" i="1"/>
  <c r="AS6" i="1"/>
  <c r="AK6" i="1"/>
  <c r="AS8" i="1"/>
  <c r="AK8" i="1"/>
  <c r="AS10" i="1"/>
  <c r="AK10" i="1"/>
  <c r="AS11" i="1"/>
  <c r="AK11" i="1"/>
  <c r="AS12" i="1"/>
  <c r="AK12" i="1"/>
  <c r="AS14" i="1"/>
  <c r="AK14" i="1"/>
  <c r="AS15" i="1"/>
  <c r="AK15" i="1"/>
  <c r="AS16" i="1"/>
  <c r="AK16" i="1"/>
  <c r="AS17" i="1"/>
  <c r="AK17" i="1"/>
  <c r="AS18" i="1"/>
  <c r="AK18" i="1"/>
  <c r="AS19" i="1"/>
  <c r="AK19" i="1"/>
  <c r="AS20" i="1"/>
  <c r="AK20" i="1"/>
  <c r="AS21" i="1"/>
  <c r="AK21" i="1"/>
  <c r="AS22" i="1"/>
  <c r="AK22" i="1"/>
  <c r="AS23" i="1"/>
  <c r="AK23" i="1"/>
  <c r="AS24" i="1"/>
  <c r="AK24" i="1"/>
  <c r="AS25" i="1"/>
  <c r="AK25" i="1"/>
  <c r="AS28" i="1"/>
  <c r="AK28" i="1"/>
  <c r="AT9" i="7"/>
  <c r="AT16" i="7"/>
  <c r="AT21" i="7"/>
  <c r="AU8" i="7"/>
  <c r="AU9" i="7"/>
  <c r="A13" i="7"/>
  <c r="AU16" i="7"/>
  <c r="A18" i="7"/>
  <c r="A21" i="7"/>
  <c r="A22" i="7"/>
  <c r="AU22" i="7"/>
  <c r="AU24" i="7"/>
  <c r="AM25" i="7"/>
  <c r="AU25" i="7"/>
  <c r="AX26" i="7"/>
  <c r="AR11" i="7"/>
  <c r="A6" i="7"/>
  <c r="G25" i="8"/>
  <c r="H25" i="8"/>
  <c r="G24" i="8"/>
  <c r="H24" i="8"/>
  <c r="G23" i="8"/>
  <c r="H23" i="8"/>
  <c r="G22" i="8"/>
  <c r="H22" i="8"/>
  <c r="AT40" i="7"/>
  <c r="A36" i="7"/>
  <c r="A35" i="7"/>
  <c r="AO28" i="7"/>
  <c r="AM28" i="7"/>
  <c r="AM27" i="7"/>
  <c r="AP27" i="7"/>
  <c r="AO27" i="7"/>
  <c r="AM26" i="7"/>
  <c r="AP26" i="7"/>
  <c r="AO26" i="7"/>
  <c r="AO25" i="7"/>
  <c r="AP24" i="7"/>
  <c r="AO24" i="7"/>
  <c r="AU23" i="7"/>
  <c r="AP23" i="7"/>
  <c r="AQ23" i="7"/>
  <c r="AO23" i="7"/>
  <c r="A24" i="7"/>
  <c r="AT22" i="7"/>
  <c r="AP22" i="7"/>
  <c r="AQ22" i="7"/>
  <c r="AO22" i="7"/>
  <c r="AP21" i="7"/>
  <c r="AO21" i="7"/>
  <c r="AP20" i="7"/>
  <c r="AO20" i="7"/>
  <c r="AP19" i="7"/>
  <c r="AQ19" i="7"/>
  <c r="AO19" i="7"/>
  <c r="AU19" i="7"/>
  <c r="AU18" i="7"/>
  <c r="AT18" i="7"/>
  <c r="AP18" i="7"/>
  <c r="AQ18" i="7"/>
  <c r="AO18" i="7"/>
  <c r="A19" i="7"/>
  <c r="AP17" i="7"/>
  <c r="AO17" i="7"/>
  <c r="AP16" i="7"/>
  <c r="AO16" i="7"/>
  <c r="AU15" i="7"/>
  <c r="AT15" i="7"/>
  <c r="AP15" i="7"/>
  <c r="AQ15" i="7"/>
  <c r="AO15" i="7"/>
  <c r="AX15" i="7"/>
  <c r="A16" i="7"/>
  <c r="AT14" i="7"/>
  <c r="AP14" i="7"/>
  <c r="AQ14" i="7"/>
  <c r="AO14" i="7"/>
  <c r="AX14" i="7"/>
  <c r="A15" i="7"/>
  <c r="AP13" i="7"/>
  <c r="AO13" i="7"/>
  <c r="L13" i="7"/>
  <c r="AW39" i="7"/>
  <c r="AP12" i="7"/>
  <c r="AO12" i="7"/>
  <c r="AX11" i="7"/>
  <c r="AP11" i="7"/>
  <c r="AO11" i="7"/>
  <c r="AU10" i="7"/>
  <c r="AT10" i="7"/>
  <c r="AP10" i="7"/>
  <c r="AQ10" i="7"/>
  <c r="AO10" i="7"/>
  <c r="A11" i="7"/>
  <c r="AP9" i="7"/>
  <c r="AO9" i="7"/>
  <c r="AP8" i="7"/>
  <c r="AO8" i="7"/>
  <c r="AU7" i="7"/>
  <c r="AT7" i="7"/>
  <c r="AP7" i="7"/>
  <c r="AQ7" i="7"/>
  <c r="AO7" i="7"/>
  <c r="AX7" i="7"/>
  <c r="A8" i="7"/>
  <c r="AU6" i="7"/>
  <c r="AT6" i="7"/>
  <c r="AP6" i="7"/>
  <c r="AQ6" i="7"/>
  <c r="AO6" i="7"/>
  <c r="AX6" i="7"/>
  <c r="A7" i="7"/>
  <c r="AP5" i="7"/>
  <c r="AO5" i="7"/>
  <c r="A5" i="7"/>
  <c r="A4" i="7"/>
  <c r="A3" i="7"/>
  <c r="A2" i="7"/>
  <c r="AT23" i="7"/>
  <c r="AT8" i="7"/>
  <c r="AQ26" i="7"/>
  <c r="AU20" i="7"/>
  <c r="A9" i="7"/>
  <c r="A23" i="7"/>
  <c r="AT17" i="7"/>
  <c r="AQ20" i="7"/>
  <c r="AX17" i="7"/>
  <c r="AR9" i="7"/>
  <c r="AX16" i="7"/>
  <c r="A17" i="7"/>
  <c r="AQ8" i="7"/>
  <c r="AT5" i="7"/>
  <c r="AR13" i="7"/>
  <c r="AQ9" i="7"/>
  <c r="AU21" i="7"/>
  <c r="A10" i="7"/>
  <c r="AU17" i="7"/>
  <c r="AX21" i="7"/>
  <c r="AX8" i="7"/>
  <c r="AX9" i="7"/>
  <c r="AQ16" i="7"/>
  <c r="AQ17" i="7"/>
  <c r="AX20" i="7"/>
  <c r="AQ12" i="7"/>
  <c r="AQ21" i="7"/>
  <c r="AT26" i="7"/>
  <c r="AT12" i="7"/>
  <c r="AT27" i="7"/>
  <c r="AU28" i="7"/>
  <c r="AX28" i="7"/>
  <c r="A29" i="7"/>
  <c r="AQ5" i="7"/>
  <c r="AU13" i="7"/>
  <c r="AQ13" i="7"/>
  <c r="AX13" i="7"/>
  <c r="AU11" i="7"/>
  <c r="AQ11" i="7"/>
  <c r="A12" i="7"/>
  <c r="AX12" i="7"/>
  <c r="A14" i="7"/>
  <c r="AT25" i="7"/>
  <c r="AX24" i="7"/>
  <c r="AU5" i="7"/>
  <c r="AR10" i="7"/>
  <c r="AX10" i="7"/>
  <c r="AR18" i="7"/>
  <c r="AX18" i="7"/>
  <c r="AT20" i="7"/>
  <c r="AR22" i="7"/>
  <c r="AX22" i="7"/>
  <c r="AR23" i="7"/>
  <c r="AX23" i="7"/>
  <c r="A26" i="7"/>
  <c r="AR25" i="7"/>
  <c r="AX25" i="7"/>
  <c r="AU26" i="7"/>
  <c r="AR28" i="7"/>
  <c r="AW38" i="7"/>
  <c r="AR5" i="7"/>
  <c r="AX5" i="7"/>
  <c r="AR6" i="7"/>
  <c r="AR7" i="7"/>
  <c r="AR8" i="7"/>
  <c r="AT11" i="7"/>
  <c r="AU12" i="7"/>
  <c r="AT13" i="7"/>
  <c r="AU14" i="7"/>
  <c r="AR17" i="7"/>
  <c r="A20" i="7"/>
  <c r="AT19" i="7"/>
  <c r="AR21" i="7"/>
  <c r="A25" i="7"/>
  <c r="AT24" i="7"/>
  <c r="A27" i="7"/>
  <c r="AR26" i="7"/>
  <c r="AP28" i="7"/>
  <c r="AQ28" i="7"/>
  <c r="AR19" i="7"/>
  <c r="AX19" i="7"/>
  <c r="AR24" i="7"/>
  <c r="AR12" i="7"/>
  <c r="AR14" i="7"/>
  <c r="AR15" i="7"/>
  <c r="AR20" i="7"/>
  <c r="AQ24" i="7"/>
  <c r="AP25" i="7"/>
  <c r="AQ25" i="7"/>
  <c r="AU34" i="7"/>
  <c r="A36" i="1"/>
  <c r="A35" i="1"/>
  <c r="AJ41" i="7"/>
  <c r="AR16" i="7"/>
  <c r="AK30" i="7"/>
  <c r="AT34" i="7"/>
  <c r="AP29" i="7"/>
  <c r="AV34" i="7"/>
  <c r="AU36" i="7"/>
  <c r="AV36" i="7"/>
  <c r="AU27" i="7"/>
  <c r="AU29" i="7"/>
  <c r="AT28" i="7"/>
  <c r="AT29" i="7"/>
  <c r="AT30" i="7"/>
  <c r="AT32" i="7"/>
  <c r="AW36" i="7"/>
  <c r="BB16" i="7"/>
  <c r="AX27" i="7"/>
  <c r="AR27" i="7"/>
  <c r="A28" i="7"/>
  <c r="AX29" i="7"/>
  <c r="AW40" i="7"/>
  <c r="AJ39" i="7"/>
  <c r="AQ27" i="7"/>
  <c r="AQ29" i="7"/>
  <c r="AL29" i="7"/>
  <c r="AJ40" i="7"/>
  <c r="G12" i="7"/>
  <c r="I12" i="7"/>
  <c r="H12" i="7"/>
  <c r="A5" i="1"/>
  <c r="A4" i="1"/>
  <c r="A3" i="1"/>
  <c r="A2" i="1"/>
  <c r="G4" i="7"/>
  <c r="AL30" i="7"/>
  <c r="AS2" i="7"/>
  <c r="K8" i="7"/>
  <c r="AT16" i="1"/>
  <c r="AO18" i="1"/>
  <c r="AP18" i="1"/>
  <c r="AO19" i="1"/>
  <c r="AP19" i="1"/>
  <c r="AO20" i="1"/>
  <c r="AP20" i="1"/>
  <c r="AO21" i="1"/>
  <c r="AP21" i="1"/>
  <c r="BB22" i="7"/>
  <c r="G6" i="7"/>
  <c r="A34" i="7"/>
  <c r="A31" i="7"/>
  <c r="AS29" i="7"/>
  <c r="BB14" i="7"/>
  <c r="G8" i="7"/>
  <c r="AU18" i="1"/>
  <c r="A19" i="1"/>
  <c r="AU19" i="1"/>
  <c r="A20" i="1"/>
  <c r="AX20" i="1"/>
  <c r="A21" i="1"/>
  <c r="AQ18" i="1"/>
  <c r="AX21" i="1"/>
  <c r="A22" i="1"/>
  <c r="AT19" i="1"/>
  <c r="AU21" i="1"/>
  <c r="AT20" i="1"/>
  <c r="AX18" i="1"/>
  <c r="AU20" i="1"/>
  <c r="AR20" i="1"/>
  <c r="AT21" i="1"/>
  <c r="AX19" i="1"/>
  <c r="AQ19" i="1"/>
  <c r="AT18" i="1"/>
  <c r="AR21" i="1"/>
  <c r="AR19" i="1"/>
  <c r="AQ21" i="1"/>
  <c r="AR18" i="1"/>
  <c r="AQ20" i="1"/>
  <c r="AP5" i="1"/>
  <c r="AW39" i="1"/>
  <c r="AU34" i="1"/>
  <c r="G23" i="6"/>
  <c r="G25" i="6"/>
  <c r="H25" i="6"/>
  <c r="G24" i="6"/>
  <c r="H24" i="6"/>
  <c r="H23" i="6"/>
  <c r="G22" i="6"/>
  <c r="H22" i="6"/>
  <c r="AT40" i="1"/>
  <c r="AM26" i="1"/>
  <c r="AP26" i="1"/>
  <c r="AM27" i="1"/>
  <c r="AP27" i="1"/>
  <c r="AM28" i="1"/>
  <c r="AM25" i="1"/>
  <c r="AP2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22" i="1"/>
  <c r="AO23" i="1"/>
  <c r="AO24" i="1"/>
  <c r="AO25" i="1"/>
  <c r="AO26" i="1"/>
  <c r="AO27" i="1"/>
  <c r="AO28" i="1"/>
  <c r="AO5" i="1"/>
  <c r="A8" i="1"/>
  <c r="A9" i="1"/>
  <c r="A10" i="1"/>
  <c r="A11" i="1"/>
  <c r="A13" i="1"/>
  <c r="A14" i="1"/>
  <c r="A17" i="1"/>
  <c r="A18" i="1"/>
  <c r="A25" i="1"/>
  <c r="A26" i="1"/>
  <c r="A27" i="1"/>
  <c r="A28" i="1"/>
  <c r="A29" i="1"/>
  <c r="AT28" i="1"/>
  <c r="AP6" i="1"/>
  <c r="AP7" i="1"/>
  <c r="AP8" i="1"/>
  <c r="AP9" i="1"/>
  <c r="AP10" i="1"/>
  <c r="AQ10" i="1"/>
  <c r="AP11" i="1"/>
  <c r="AP12" i="1"/>
  <c r="AP13" i="1"/>
  <c r="AP14" i="1"/>
  <c r="AP15" i="1"/>
  <c r="AP16" i="1"/>
  <c r="AP17" i="1"/>
  <c r="AP22" i="1"/>
  <c r="AP23" i="1"/>
  <c r="AP24" i="1"/>
  <c r="AP28" i="1"/>
  <c r="AU10" i="1"/>
  <c r="H4" i="5"/>
  <c r="Q4" i="5"/>
  <c r="H5" i="5"/>
  <c r="T5" i="5"/>
  <c r="H6" i="5"/>
  <c r="Q6" i="5"/>
  <c r="H7" i="5"/>
  <c r="H8" i="5"/>
  <c r="Q8" i="5"/>
  <c r="H9" i="5"/>
  <c r="Q9" i="5"/>
  <c r="H10" i="5"/>
  <c r="Q10" i="5"/>
  <c r="H11" i="5"/>
  <c r="H12" i="5"/>
  <c r="Q12" i="5"/>
  <c r="H13" i="5"/>
  <c r="Q13" i="5"/>
  <c r="H14" i="5"/>
  <c r="Q14" i="5"/>
  <c r="H15" i="5"/>
  <c r="Q15" i="5"/>
  <c r="H16" i="5"/>
  <c r="Q16" i="5"/>
  <c r="H17" i="5"/>
  <c r="T17" i="5"/>
  <c r="H18" i="5"/>
  <c r="Q18" i="5"/>
  <c r="H19" i="5"/>
  <c r="Q19" i="5"/>
  <c r="H20" i="5"/>
  <c r="I20" i="5"/>
  <c r="L20" i="5"/>
  <c r="O4" i="5"/>
  <c r="P4" i="5"/>
  <c r="O5" i="5"/>
  <c r="P5" i="5"/>
  <c r="O6" i="5"/>
  <c r="P6" i="5"/>
  <c r="O7" i="5"/>
  <c r="P7" i="5"/>
  <c r="O8" i="5"/>
  <c r="P8" i="5"/>
  <c r="O9" i="5"/>
  <c r="P9" i="5"/>
  <c r="O10" i="5"/>
  <c r="P10" i="5"/>
  <c r="O11" i="5"/>
  <c r="P11" i="5"/>
  <c r="O12" i="5"/>
  <c r="T12" i="5"/>
  <c r="O13" i="5"/>
  <c r="P13" i="5"/>
  <c r="O14" i="5"/>
  <c r="P14" i="5"/>
  <c r="O15" i="5"/>
  <c r="P15" i="5"/>
  <c r="O16" i="5"/>
  <c r="T16" i="5"/>
  <c r="O17" i="5"/>
  <c r="P17" i="5"/>
  <c r="O18" i="5"/>
  <c r="P18" i="5"/>
  <c r="O19" i="5"/>
  <c r="P19" i="5"/>
  <c r="O20" i="5"/>
  <c r="T13" i="5"/>
  <c r="T19" i="5"/>
  <c r="L4" i="5"/>
  <c r="M4" i="5"/>
  <c r="L5" i="5"/>
  <c r="L6" i="5"/>
  <c r="M6" i="5"/>
  <c r="L7" i="5"/>
  <c r="L8" i="5"/>
  <c r="M8" i="5"/>
  <c r="L9" i="5"/>
  <c r="L10" i="5"/>
  <c r="L11" i="5"/>
  <c r="M11" i="5"/>
  <c r="L12" i="5"/>
  <c r="M12" i="5"/>
  <c r="L13" i="5"/>
  <c r="L14" i="5"/>
  <c r="L15" i="5"/>
  <c r="L16" i="5"/>
  <c r="M16" i="5"/>
  <c r="L17" i="5"/>
  <c r="L18" i="5"/>
  <c r="L19" i="5"/>
  <c r="M19" i="5"/>
  <c r="H4" i="4"/>
  <c r="Q4" i="4"/>
  <c r="H5" i="4"/>
  <c r="Q5" i="4"/>
  <c r="H6" i="4"/>
  <c r="Q6" i="4"/>
  <c r="H7" i="4"/>
  <c r="Q7" i="4"/>
  <c r="H8" i="4"/>
  <c r="Q8" i="4"/>
  <c r="H9" i="4"/>
  <c r="T9" i="4"/>
  <c r="H10" i="4"/>
  <c r="Q10" i="4"/>
  <c r="H11" i="4"/>
  <c r="Q11" i="4"/>
  <c r="H12" i="4"/>
  <c r="Q12" i="4"/>
  <c r="H13" i="4"/>
  <c r="Q13" i="4"/>
  <c r="H14" i="4"/>
  <c r="Q14" i="4"/>
  <c r="H15" i="4"/>
  <c r="Q15" i="4"/>
  <c r="H16" i="4"/>
  <c r="Q16" i="4"/>
  <c r="H17" i="4"/>
  <c r="H18" i="4"/>
  <c r="Q18" i="4"/>
  <c r="H19" i="4"/>
  <c r="T19" i="4"/>
  <c r="Q19" i="4"/>
  <c r="H20" i="4"/>
  <c r="I20" i="4"/>
  <c r="L20" i="4"/>
  <c r="M20" i="4"/>
  <c r="O4" i="4"/>
  <c r="P4" i="4"/>
  <c r="O5" i="4"/>
  <c r="P5" i="4"/>
  <c r="O6" i="4"/>
  <c r="P6" i="4"/>
  <c r="O7" i="4"/>
  <c r="P7" i="4"/>
  <c r="O8" i="4"/>
  <c r="P8" i="4"/>
  <c r="O9" i="4"/>
  <c r="P9" i="4"/>
  <c r="O10" i="4"/>
  <c r="P10" i="4"/>
  <c r="O11" i="4"/>
  <c r="P11" i="4"/>
  <c r="O12" i="4"/>
  <c r="P12" i="4"/>
  <c r="O13" i="4"/>
  <c r="P13" i="4"/>
  <c r="O14" i="4"/>
  <c r="P14" i="4"/>
  <c r="O15" i="4"/>
  <c r="T15" i="4"/>
  <c r="O16" i="4"/>
  <c r="P16" i="4"/>
  <c r="O17" i="4"/>
  <c r="P17" i="4"/>
  <c r="O18" i="4"/>
  <c r="P18" i="4"/>
  <c r="O19" i="4"/>
  <c r="P19" i="4"/>
  <c r="O20" i="4"/>
  <c r="T4" i="4"/>
  <c r="T11" i="4"/>
  <c r="T12" i="4"/>
  <c r="T20" i="4"/>
  <c r="L4" i="4"/>
  <c r="M4" i="4"/>
  <c r="L5" i="4"/>
  <c r="M5" i="4"/>
  <c r="L6" i="4"/>
  <c r="L7" i="4"/>
  <c r="L8" i="4"/>
  <c r="M8" i="4"/>
  <c r="L9" i="4"/>
  <c r="L10" i="4"/>
  <c r="M10" i="4"/>
  <c r="L11" i="4"/>
  <c r="M11" i="4"/>
  <c r="L12" i="4"/>
  <c r="M12" i="4"/>
  <c r="L13" i="4"/>
  <c r="L14" i="4"/>
  <c r="L15" i="4"/>
  <c r="M15" i="4"/>
  <c r="L16" i="4"/>
  <c r="L17" i="4"/>
  <c r="M17" i="4"/>
  <c r="L18" i="4"/>
  <c r="M18" i="4"/>
  <c r="L19" i="4"/>
  <c r="M19" i="4"/>
  <c r="AQ15" i="1"/>
  <c r="A6" i="1"/>
  <c r="AU23" i="1"/>
  <c r="A24" i="1"/>
  <c r="AU15" i="1"/>
  <c r="A16" i="1"/>
  <c r="AU11" i="1"/>
  <c r="A12" i="1"/>
  <c r="AU22" i="1"/>
  <c r="A23" i="1"/>
  <c r="AU14" i="1"/>
  <c r="A15" i="1"/>
  <c r="AU6" i="1"/>
  <c r="A7" i="1"/>
  <c r="AW38" i="1"/>
  <c r="AU36" i="1"/>
  <c r="AX5" i="1"/>
  <c r="AT5" i="1"/>
  <c r="AT9" i="1"/>
  <c r="M16" i="4"/>
  <c r="M18" i="5"/>
  <c r="M13" i="4"/>
  <c r="M9" i="4"/>
  <c r="M7" i="4"/>
  <c r="T8" i="4"/>
  <c r="M14" i="5"/>
  <c r="T8" i="5"/>
  <c r="Q20" i="5"/>
  <c r="AX10" i="1"/>
  <c r="AQ6" i="1"/>
  <c r="T16" i="4"/>
  <c r="T7" i="4"/>
  <c r="P15" i="4"/>
  <c r="T17" i="4"/>
  <c r="M10" i="5"/>
  <c r="P20" i="5"/>
  <c r="T11" i="5"/>
  <c r="T7" i="5"/>
  <c r="T4" i="5"/>
  <c r="T21" i="5"/>
  <c r="F19" i="5"/>
  <c r="L21" i="4"/>
  <c r="Q20" i="4"/>
  <c r="Q17" i="4"/>
  <c r="Q9" i="4"/>
  <c r="M17" i="5"/>
  <c r="M9" i="5"/>
  <c r="T15" i="5"/>
  <c r="T9" i="5"/>
  <c r="P16" i="5"/>
  <c r="P12" i="5"/>
  <c r="P21" i="5"/>
  <c r="Q17" i="5"/>
  <c r="Q21" i="5"/>
  <c r="P22" i="5"/>
  <c r="O21" i="5"/>
  <c r="F12" i="5"/>
  <c r="F13" i="5"/>
  <c r="Q11" i="5"/>
  <c r="Q7" i="5"/>
  <c r="Q5" i="5"/>
  <c r="AQ16" i="1"/>
  <c r="AQ12" i="1"/>
  <c r="P20" i="4"/>
  <c r="M13" i="5"/>
  <c r="M5" i="5"/>
  <c r="T20" i="5"/>
  <c r="M20" i="5"/>
  <c r="M14" i="4"/>
  <c r="M6" i="4"/>
  <c r="T13" i="4"/>
  <c r="T5" i="4"/>
  <c r="M15" i="5"/>
  <c r="M7" i="5"/>
  <c r="T18" i="5"/>
  <c r="T14" i="5"/>
  <c r="T10" i="5"/>
  <c r="T6" i="5"/>
  <c r="AX25" i="1"/>
  <c r="AX27" i="1"/>
  <c r="AX26" i="1"/>
  <c r="AQ24" i="1"/>
  <c r="AQ23" i="1"/>
  <c r="AQ11" i="1"/>
  <c r="AQ25" i="1"/>
  <c r="AU25" i="1"/>
  <c r="AR27" i="1"/>
  <c r="AT27" i="1"/>
  <c r="AR26" i="1"/>
  <c r="AT26" i="1"/>
  <c r="AU27" i="1"/>
  <c r="AQ27" i="1"/>
  <c r="AR25" i="1"/>
  <c r="AT25" i="1"/>
  <c r="AU26" i="1"/>
  <c r="AQ26" i="1"/>
  <c r="P21" i="4"/>
  <c r="T18" i="4"/>
  <c r="T14" i="4"/>
  <c r="T10" i="4"/>
  <c r="T6" i="4"/>
  <c r="L21" i="5"/>
  <c r="AQ22" i="1"/>
  <c r="AQ14" i="1"/>
  <c r="AT17" i="1"/>
  <c r="AT13" i="1"/>
  <c r="AP29" i="1"/>
  <c r="AT23" i="1"/>
  <c r="AX22" i="1"/>
  <c r="AR11" i="1"/>
  <c r="AX14" i="1"/>
  <c r="AR10" i="1"/>
  <c r="AR24" i="1"/>
  <c r="AT11" i="1"/>
  <c r="AR16" i="1"/>
  <c r="AR6" i="1"/>
  <c r="AR14" i="1"/>
  <c r="AR22" i="1"/>
  <c r="AU9" i="1"/>
  <c r="AU28" i="1"/>
  <c r="AU24" i="1"/>
  <c r="AU16" i="1"/>
  <c r="AU12" i="1"/>
  <c r="AU8" i="1"/>
  <c r="AU17" i="1"/>
  <c r="AR9" i="1"/>
  <c r="AX13" i="1"/>
  <c r="AT15" i="1"/>
  <c r="AT7" i="1"/>
  <c r="AX6" i="1"/>
  <c r="AX23" i="1"/>
  <c r="AX15" i="1"/>
  <c r="AX11" i="1"/>
  <c r="AX7" i="1"/>
  <c r="AX17" i="1"/>
  <c r="AX9" i="1"/>
  <c r="AU13" i="1"/>
  <c r="AR17" i="1"/>
  <c r="AU5" i="1"/>
  <c r="AR13" i="1"/>
  <c r="AR5" i="1"/>
  <c r="AQ17" i="1"/>
  <c r="AQ13" i="1"/>
  <c r="AQ9" i="1"/>
  <c r="AQ5" i="1"/>
  <c r="AR28" i="1"/>
  <c r="AU7" i="1"/>
  <c r="AQ8" i="1"/>
  <c r="AR7" i="1"/>
  <c r="AR12" i="1"/>
  <c r="AT24" i="1"/>
  <c r="AT12" i="1"/>
  <c r="AT8" i="1"/>
  <c r="AX28" i="1"/>
  <c r="AQ7" i="1"/>
  <c r="AR15" i="1"/>
  <c r="AR8" i="1"/>
  <c r="AX24" i="1"/>
  <c r="AX16" i="1"/>
  <c r="AX12" i="1"/>
  <c r="AX8" i="1"/>
  <c r="AQ28" i="1"/>
  <c r="AR23" i="1"/>
  <c r="AT22" i="1"/>
  <c r="AT14" i="1"/>
  <c r="AT10" i="1"/>
  <c r="AT6" i="1"/>
  <c r="AJ41" i="1"/>
  <c r="AJ39" i="1"/>
  <c r="AJ40" i="1"/>
  <c r="M21" i="5"/>
  <c r="H21" i="5"/>
  <c r="F4" i="5"/>
  <c r="F5" i="5"/>
  <c r="Q21" i="4"/>
  <c r="P22" i="4"/>
  <c r="O21" i="4"/>
  <c r="F4" i="4"/>
  <c r="F5" i="4"/>
  <c r="M21" i="4"/>
  <c r="H21" i="4"/>
  <c r="AW40" i="1"/>
  <c r="T21" i="4"/>
  <c r="F19" i="4"/>
  <c r="H12" i="1"/>
  <c r="G12" i="1"/>
  <c r="I12" i="1"/>
  <c r="AQ29" i="1"/>
  <c r="AL29" i="1"/>
  <c r="G4" i="1"/>
  <c r="A31" i="1"/>
  <c r="AT29" i="1"/>
  <c r="AK30" i="1"/>
  <c r="AU29" i="1"/>
  <c r="AX29" i="1"/>
  <c r="AS2" i="1"/>
  <c r="BB22" i="1"/>
  <c r="G6" i="1"/>
  <c r="A34" i="1"/>
  <c r="AT34" i="1"/>
  <c r="AV34" i="1"/>
  <c r="AT30" i="1"/>
  <c r="AT32" i="1"/>
  <c r="AU32" i="1"/>
  <c r="AV32" i="1"/>
  <c r="AS29" i="1"/>
  <c r="AL30" i="1"/>
  <c r="BB14" i="1"/>
  <c r="G8" i="1"/>
  <c r="AU32" i="7"/>
  <c r="AV32" i="7"/>
  <c r="A33" i="7"/>
  <c r="AV36" i="1"/>
  <c r="AW36" i="1"/>
  <c r="BB16" i="1"/>
  <c r="A33" i="1"/>
</calcChain>
</file>

<file path=xl/sharedStrings.xml><?xml version="1.0" encoding="utf-8"?>
<sst xmlns="http://schemas.openxmlformats.org/spreadsheetml/2006/main" count="525" uniqueCount="127">
  <si>
    <t>Title</t>
  </si>
  <si>
    <t>Quality score (based on question count)</t>
  </si>
  <si>
    <t>Error Type</t>
  </si>
  <si>
    <t>Count</t>
  </si>
  <si>
    <t>Weightage</t>
  </si>
  <si>
    <t>total issues in chapter</t>
  </si>
  <si>
    <t>total weightage of chapter</t>
  </si>
  <si>
    <t>missed out weightage</t>
  </si>
  <si>
    <t>Chapter #</t>
  </si>
  <si>
    <t>Concept</t>
  </si>
  <si>
    <t>Developer</t>
  </si>
  <si>
    <t>Calculation</t>
  </si>
  <si>
    <t>Reviewer</t>
  </si>
  <si>
    <t>Consistency (text)</t>
  </si>
  <si>
    <t>No. of Questions</t>
  </si>
  <si>
    <t>Instruction</t>
  </si>
  <si>
    <t>Feedback</t>
  </si>
  <si>
    <t>Give-away</t>
  </si>
  <si>
    <t>Dropdown</t>
  </si>
  <si>
    <t>Is the Worksheet as per the standards with check marks?</t>
  </si>
  <si>
    <t>Click to select</t>
  </si>
  <si>
    <t>Quality score (based on issues in chapter)</t>
  </si>
  <si>
    <t>Consistency (across chapter)</t>
  </si>
  <si>
    <t>Rephrasing of comments required?</t>
  </si>
  <si>
    <t>Missing tags/description</t>
  </si>
  <si>
    <t>Issue clarity required?</t>
  </si>
  <si>
    <t>Carousel/Narration</t>
  </si>
  <si>
    <t>Naming convention followed (WS/ Report)?</t>
  </si>
  <si>
    <t>Rephrasing</t>
  </si>
  <si>
    <t>Formatting</t>
  </si>
  <si>
    <t>Setup issue-Back end tool</t>
  </si>
  <si>
    <t>Minor typo</t>
  </si>
  <si>
    <t>Grading</t>
  </si>
  <si>
    <t>Suggestion</t>
  </si>
  <si>
    <t>Q No.</t>
  </si>
  <si>
    <t>Static/ Algo</t>
  </si>
  <si>
    <t>Issue</t>
  </si>
  <si>
    <t>Fix</t>
  </si>
  <si>
    <t>Issues
in
Chapter</t>
  </si>
  <si>
    <t>Quality score</t>
  </si>
  <si>
    <t>★</t>
  </si>
  <si>
    <t>☆</t>
  </si>
  <si>
    <t>★★</t>
  </si>
  <si>
    <t>★★★</t>
  </si>
  <si>
    <t>★★★★</t>
  </si>
  <si>
    <t>★★★★★</t>
  </si>
  <si>
    <t>exact 100</t>
  </si>
  <si>
    <t>☆☆</t>
  </si>
  <si>
    <t>☆☆☆</t>
  </si>
  <si>
    <t>☆☆☆☆</t>
  </si>
  <si>
    <t>☆☆☆☆☆</t>
  </si>
  <si>
    <t>Bug</t>
  </si>
  <si>
    <t>☠</t>
  </si>
  <si>
    <t>½</t>
  </si>
  <si>
    <t>96- 99</t>
  </si>
  <si>
    <t>★★★★½</t>
  </si>
  <si>
    <t>51 - 70</t>
  </si>
  <si>
    <t>35 - 50</t>
  </si>
  <si>
    <t>0 - 35</t>
  </si>
  <si>
    <t>71 - 85</t>
  </si>
  <si>
    <t>85 - 95</t>
  </si>
  <si>
    <t>Accuracy Score</t>
  </si>
  <si>
    <t>Basic project requirement</t>
  </si>
  <si>
    <t>Report</t>
  </si>
  <si>
    <t>Reviewer's report</t>
  </si>
  <si>
    <t>=&gt;</t>
  </si>
  <si>
    <t>No. of issues in total</t>
  </si>
  <si>
    <t>Review - Basic</t>
  </si>
  <si>
    <t>Review - Value addition</t>
  </si>
  <si>
    <t>Phrasing</t>
  </si>
  <si>
    <t>Tags/Format</t>
  </si>
  <si>
    <t>Total Issues</t>
  </si>
  <si>
    <t>Total Errors in Chapter</t>
  </si>
  <si>
    <t>Initial checker</t>
  </si>
  <si>
    <t>Rephrased</t>
  </si>
  <si>
    <t>No. of comments rephrased</t>
  </si>
  <si>
    <t>Standard time (hrs.)</t>
  </si>
  <si>
    <t>Time taken (hrs.)</t>
  </si>
  <si>
    <t>Chapter number</t>
  </si>
  <si>
    <t>No. of questions</t>
  </si>
  <si>
    <t>Additonal errors reported</t>
  </si>
  <si>
    <t>BPR</t>
  </si>
  <si>
    <t>Others</t>
  </si>
  <si>
    <t>Setup issue(s)</t>
  </si>
  <si>
    <t>Formula</t>
  </si>
  <si>
    <t>Pos/Neg</t>
  </si>
  <si>
    <t>Shuffle group</t>
  </si>
  <si>
    <t>Graded/non-graded</t>
  </si>
  <si>
    <t>Additionally reported</t>
  </si>
  <si>
    <t>Incorrect reporting</t>
  </si>
  <si>
    <t xml:space="preserve"> </t>
  </si>
  <si>
    <t>Algo consistency</t>
  </si>
  <si>
    <t>S1</t>
  </si>
  <si>
    <t>S3</t>
  </si>
  <si>
    <t>S2</t>
  </si>
  <si>
    <t>Total issues based on severity</t>
  </si>
  <si>
    <t>Additional Issue categorization:</t>
  </si>
  <si>
    <t>Spot checker/QA auditor</t>
  </si>
  <si>
    <t>Spotchecks-QA audit</t>
  </si>
  <si>
    <t>Eye for detail (BPR only)</t>
  </si>
  <si>
    <t>Review date</t>
  </si>
  <si>
    <t>Efficiency</t>
  </si>
  <si>
    <t>Adherence to guidelines</t>
  </si>
  <si>
    <t>Document Information</t>
  </si>
  <si>
    <t>Document title</t>
  </si>
  <si>
    <t>Accuracy Checking F&amp;A  - Performance Card</t>
  </si>
  <si>
    <t>Current Version</t>
  </si>
  <si>
    <t>Effective Date</t>
  </si>
  <si>
    <t>Status</t>
  </si>
  <si>
    <t>Live</t>
  </si>
  <si>
    <t>Document Owner</t>
  </si>
  <si>
    <t>Service Line Manager, F&amp;A</t>
  </si>
  <si>
    <t>Document classification</t>
  </si>
  <si>
    <t>Internal</t>
  </si>
  <si>
    <t>Revision History</t>
  </si>
  <si>
    <t>Date of Revision</t>
  </si>
  <si>
    <t>Version No.</t>
  </si>
  <si>
    <t>Description of Change</t>
  </si>
  <si>
    <t>Created/ updated by</t>
  </si>
  <si>
    <t>Reviewed by:</t>
  </si>
  <si>
    <t>Approved By</t>
  </si>
  <si>
    <t>Initial baseline</t>
  </si>
  <si>
    <t>Kamal</t>
  </si>
  <si>
    <t>Khalid</t>
  </si>
  <si>
    <t>14/1/2016</t>
  </si>
  <si>
    <t>Incorporated findings after Internal Audit and added document information</t>
  </si>
  <si>
    <t xml:space="preserve">Rohit Patil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</si>
</sst>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0.0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5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5"/>
      <color rgb="FF7030A0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24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 tint="0.1499984740745262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u/>
      <sz val="14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2"/>
      <color rgb="FF00206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4"/>
      <name val="Calibri"/>
      <family val="2"/>
      <scheme val="minor"/>
    </font>
    <font>
      <b/>
      <sz val="20"/>
      <name val="Calibri"/>
      <family val="2"/>
      <scheme val="minor"/>
    </font>
    <font>
      <sz val="24"/>
      <color rgb="FFFF3300"/>
      <name val="Calibri"/>
      <family val="2"/>
      <scheme val="minor"/>
    </font>
    <font>
      <b/>
      <sz val="11"/>
      <color rgb="FFFF3300"/>
      <name val="Calibri"/>
      <family val="2"/>
      <scheme val="minor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i/>
      <u/>
      <sz val="12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4"/>
      <color rgb="FFFFE62D"/>
      <name val="Calibri"/>
      <family val="2"/>
      <scheme val="minor"/>
    </font>
    <font>
      <b/>
      <sz val="14"/>
      <color rgb="FFFFE62D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b/>
      <sz val="10"/>
      <color rgb="FFFFFFFF"/>
      <name val="Calibri"/>
      <family val="2"/>
    </font>
    <font>
      <sz val="11"/>
      <color rgb="FF000000"/>
      <name val="Calibri"/>
      <family val="2"/>
      <scheme val="minor"/>
    </font>
    <font>
      <sz val="10"/>
      <color theme="1"/>
      <name val="Cambria"/>
      <family val="2"/>
      <scheme val="major"/>
    </font>
    <font>
      <sz val="8"/>
      <color theme="1"/>
      <name val="Lucida Sans"/>
      <family val="2"/>
    </font>
    <font>
      <sz val="8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002060"/>
      </left>
      <right/>
      <top style="double">
        <color rgb="FF002060"/>
      </top>
      <bottom/>
      <diagonal/>
    </border>
    <border>
      <left/>
      <right/>
      <top style="double">
        <color rgb="FF002060"/>
      </top>
      <bottom/>
      <diagonal/>
    </border>
    <border>
      <left/>
      <right style="double">
        <color rgb="FF002060"/>
      </right>
      <top style="double">
        <color rgb="FF002060"/>
      </top>
      <bottom/>
      <diagonal/>
    </border>
    <border>
      <left style="double">
        <color rgb="FF002060"/>
      </left>
      <right/>
      <top/>
      <bottom/>
      <diagonal/>
    </border>
    <border>
      <left/>
      <right style="double">
        <color rgb="FF002060"/>
      </right>
      <top/>
      <bottom/>
      <diagonal/>
    </border>
    <border>
      <left style="double">
        <color rgb="FF002060"/>
      </left>
      <right/>
      <top/>
      <bottom style="double">
        <color rgb="FF002060"/>
      </bottom>
      <diagonal/>
    </border>
    <border>
      <left/>
      <right/>
      <top/>
      <bottom style="double">
        <color rgb="FF002060"/>
      </bottom>
      <diagonal/>
    </border>
    <border>
      <left/>
      <right style="double">
        <color rgb="FF002060"/>
      </right>
      <top/>
      <bottom style="double">
        <color rgb="FF00206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medium">
        <color rgb="FF244061"/>
      </left>
      <right style="medium">
        <color rgb="FF244061"/>
      </right>
      <top/>
      <bottom style="medium">
        <color rgb="FF244061"/>
      </bottom>
      <diagonal/>
    </border>
    <border>
      <left/>
      <right style="medium">
        <color rgb="FF244061"/>
      </right>
      <top/>
      <bottom style="medium">
        <color rgb="FF24406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17">
    <xf numFmtId="0" fontId="0" fillId="0" borderId="0" xfId="0"/>
    <xf numFmtId="0" fontId="0" fillId="2" borderId="0" xfId="0" applyFont="1" applyFill="1" applyAlignment="1" applyProtection="1">
      <alignment horizontal="left"/>
    </xf>
    <xf numFmtId="0" fontId="0" fillId="3" borderId="0" xfId="0" applyFont="1" applyFill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protection locked="0"/>
    </xf>
    <xf numFmtId="0" fontId="0" fillId="3" borderId="0" xfId="0" applyFont="1" applyFill="1" applyProtection="1"/>
    <xf numFmtId="0" fontId="0" fillId="3" borderId="0" xfId="0" applyFont="1" applyFill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0" borderId="2" xfId="0" applyFont="1" applyFill="1" applyBorder="1" applyProtection="1">
      <protection locked="0"/>
    </xf>
    <xf numFmtId="0" fontId="0" fillId="0" borderId="2" xfId="0" applyFont="1" applyFill="1" applyBorder="1" applyAlignment="1" applyProtection="1">
      <alignment wrapText="1"/>
      <protection locked="0"/>
    </xf>
    <xf numFmtId="0" fontId="0" fillId="3" borderId="2" xfId="0" applyFont="1" applyFill="1" applyBorder="1" applyAlignment="1" applyProtection="1">
      <protection locked="0"/>
    </xf>
    <xf numFmtId="0" fontId="0" fillId="3" borderId="3" xfId="0" applyFont="1" applyFill="1" applyBorder="1" applyProtection="1">
      <protection locked="0"/>
    </xf>
    <xf numFmtId="0" fontId="0" fillId="3" borderId="4" xfId="0" applyFont="1" applyFill="1" applyBorder="1" applyProtection="1">
      <protection locked="0"/>
    </xf>
    <xf numFmtId="0" fontId="2" fillId="0" borderId="5" xfId="0" applyFont="1" applyFill="1" applyBorder="1" applyProtection="1"/>
    <xf numFmtId="0" fontId="3" fillId="4" borderId="2" xfId="0" applyFont="1" applyFill="1" applyBorder="1" applyAlignment="1" applyProtection="1">
      <alignment horizontal="center" vertical="center" wrapText="1"/>
      <protection hidden="1"/>
    </xf>
    <xf numFmtId="0" fontId="4" fillId="4" borderId="8" xfId="0" applyFont="1" applyFill="1" applyBorder="1" applyAlignment="1" applyProtection="1">
      <alignment horizontal="center"/>
      <protection hidden="1"/>
    </xf>
    <xf numFmtId="0" fontId="5" fillId="0" borderId="9" xfId="0" applyFont="1" applyFill="1" applyBorder="1" applyAlignment="1" applyProtection="1">
      <alignment horizontal="left" wrapText="1"/>
      <protection locked="0"/>
    </xf>
    <xf numFmtId="0" fontId="0" fillId="3" borderId="9" xfId="0" applyFont="1" applyFill="1" applyBorder="1" applyProtection="1">
      <protection locked="0"/>
    </xf>
    <xf numFmtId="0" fontId="5" fillId="5" borderId="0" xfId="0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Protection="1"/>
    <xf numFmtId="10" fontId="6" fillId="2" borderId="0" xfId="0" applyNumberFormat="1" applyFont="1" applyFill="1" applyBorder="1" applyAlignment="1" applyProtection="1">
      <alignment horizontal="center" wrapText="1"/>
      <protection hidden="1"/>
    </xf>
    <xf numFmtId="0" fontId="2" fillId="2" borderId="8" xfId="0" applyFont="1" applyFill="1" applyBorder="1" applyProtection="1">
      <protection hidden="1"/>
    </xf>
    <xf numFmtId="0" fontId="7" fillId="2" borderId="8" xfId="0" applyFont="1" applyFill="1" applyBorder="1" applyAlignment="1" applyProtection="1">
      <alignment horizontal="center"/>
      <protection hidden="1"/>
    </xf>
    <xf numFmtId="0" fontId="1" fillId="0" borderId="9" xfId="0" applyFont="1" applyFill="1" applyBorder="1" applyAlignment="1" applyProtection="1">
      <alignment horizontal="center"/>
      <protection locked="0"/>
    </xf>
    <xf numFmtId="4" fontId="0" fillId="5" borderId="0" xfId="0" applyNumberFormat="1" applyFont="1" applyFill="1" applyBorder="1" applyProtection="1">
      <protection locked="0"/>
    </xf>
    <xf numFmtId="1" fontId="0" fillId="0" borderId="6" xfId="0" applyNumberFormat="1" applyFont="1" applyFill="1" applyBorder="1" applyAlignment="1" applyProtection="1">
      <alignment horizontal="center"/>
      <protection locked="0"/>
    </xf>
    <xf numFmtId="0" fontId="0" fillId="0" borderId="13" xfId="0" applyFont="1" applyFill="1" applyBorder="1" applyAlignment="1" applyProtection="1">
      <alignment wrapText="1"/>
      <protection locked="0"/>
    </xf>
    <xf numFmtId="0" fontId="2" fillId="0" borderId="10" xfId="0" applyFont="1" applyFill="1" applyBorder="1" applyProtection="1">
      <protection locked="0"/>
    </xf>
    <xf numFmtId="10" fontId="2" fillId="0" borderId="0" xfId="0" applyNumberFormat="1" applyFont="1" applyFill="1" applyBorder="1" applyAlignment="1" applyProtection="1">
      <alignment horizontal="center"/>
      <protection locked="0"/>
    </xf>
    <xf numFmtId="0" fontId="0" fillId="0" borderId="14" xfId="0" applyFont="1" applyFill="1" applyBorder="1" applyAlignment="1" applyProtection="1">
      <alignment wrapText="1"/>
      <protection locked="0"/>
    </xf>
    <xf numFmtId="0" fontId="10" fillId="0" borderId="0" xfId="1" applyFont="1" applyFill="1" applyBorder="1" applyAlignment="1" applyProtection="1">
      <alignment horizontal="center" wrapText="1"/>
      <protection locked="0"/>
    </xf>
    <xf numFmtId="0" fontId="11" fillId="0" borderId="10" xfId="0" applyFont="1" applyFill="1" applyBorder="1" applyAlignment="1" applyProtection="1">
      <protection locked="0"/>
    </xf>
    <xf numFmtId="0" fontId="11" fillId="0" borderId="10" xfId="0" applyFont="1" applyFill="1" applyBorder="1" applyProtection="1">
      <protection locked="0"/>
    </xf>
    <xf numFmtId="0" fontId="0" fillId="0" borderId="15" xfId="0" applyFont="1" applyFill="1" applyBorder="1" applyAlignment="1" applyProtection="1">
      <alignment wrapText="1"/>
      <protection locked="0"/>
    </xf>
    <xf numFmtId="0" fontId="12" fillId="0" borderId="10" xfId="0" applyFont="1" applyFill="1" applyBorder="1" applyProtection="1"/>
    <xf numFmtId="0" fontId="2" fillId="0" borderId="0" xfId="0" applyFont="1" applyFill="1" applyBorder="1" applyProtection="1">
      <protection locked="0"/>
    </xf>
    <xf numFmtId="0" fontId="1" fillId="0" borderId="16" xfId="0" applyFont="1" applyFill="1" applyBorder="1" applyAlignment="1" applyProtection="1">
      <alignment horizontal="center" wrapText="1"/>
      <protection locked="0"/>
    </xf>
    <xf numFmtId="0" fontId="13" fillId="4" borderId="2" xfId="0" applyFont="1" applyFill="1" applyBorder="1" applyAlignment="1" applyProtection="1">
      <alignment horizontal="center" vertical="center" wrapText="1"/>
      <protection hidden="1"/>
    </xf>
    <xf numFmtId="0" fontId="12" fillId="0" borderId="10" xfId="0" applyFont="1" applyFill="1" applyBorder="1" applyAlignment="1" applyProtection="1">
      <protection locked="0"/>
    </xf>
    <xf numFmtId="0" fontId="2" fillId="0" borderId="10" xfId="0" applyFont="1" applyFill="1" applyBorder="1" applyAlignment="1" applyProtection="1">
      <alignment wrapText="1"/>
      <protection locked="0"/>
    </xf>
    <xf numFmtId="0" fontId="1" fillId="0" borderId="14" xfId="0" applyFont="1" applyFill="1" applyBorder="1" applyAlignment="1" applyProtection="1">
      <alignment horizontal="center" wrapText="1"/>
      <protection locked="0"/>
    </xf>
    <xf numFmtId="0" fontId="0" fillId="0" borderId="19" xfId="0" applyFont="1" applyFill="1" applyBorder="1" applyProtection="1">
      <protection locked="0"/>
    </xf>
    <xf numFmtId="0" fontId="0" fillId="0" borderId="15" xfId="0" applyFont="1" applyFill="1" applyBorder="1" applyProtection="1">
      <protection locked="0"/>
    </xf>
    <xf numFmtId="0" fontId="0" fillId="0" borderId="20" xfId="0" applyFont="1" applyFill="1" applyBorder="1" applyAlignment="1" applyProtection="1">
      <alignment wrapText="1"/>
      <protection locked="0"/>
    </xf>
    <xf numFmtId="0" fontId="0" fillId="3" borderId="0" xfId="0" applyFont="1" applyFill="1" applyBorder="1" applyAlignment="1" applyProtection="1">
      <alignment wrapText="1"/>
      <protection locked="0"/>
    </xf>
    <xf numFmtId="0" fontId="1" fillId="2" borderId="8" xfId="0" applyFont="1" applyFill="1" applyBorder="1" applyProtection="1">
      <protection hidden="1"/>
    </xf>
    <xf numFmtId="10" fontId="7" fillId="2" borderId="8" xfId="0" applyNumberFormat="1" applyFont="1" applyFill="1" applyBorder="1" applyAlignment="1" applyProtection="1">
      <alignment horizontal="center"/>
      <protection hidden="1"/>
    </xf>
    <xf numFmtId="0" fontId="0" fillId="0" borderId="9" xfId="0" applyFont="1" applyFill="1" applyBorder="1" applyAlignment="1" applyProtection="1">
      <alignment horizontal="center"/>
      <protection locked="0"/>
    </xf>
    <xf numFmtId="4" fontId="1" fillId="5" borderId="0" xfId="0" applyNumberFormat="1" applyFont="1" applyFill="1" applyBorder="1" applyProtection="1">
      <protection locked="0"/>
    </xf>
    <xf numFmtId="0" fontId="1" fillId="3" borderId="21" xfId="0" applyFont="1" applyFill="1" applyBorder="1" applyProtection="1">
      <protection locked="0"/>
    </xf>
    <xf numFmtId="0" fontId="1" fillId="3" borderId="22" xfId="0" applyFont="1" applyFill="1" applyBorder="1" applyProtection="1">
      <protection locked="0"/>
    </xf>
    <xf numFmtId="0" fontId="0" fillId="0" borderId="0" xfId="0" applyFont="1" applyFill="1" applyProtection="1"/>
    <xf numFmtId="0" fontId="0" fillId="0" borderId="23" xfId="0" applyFont="1" applyFill="1" applyBorder="1" applyProtection="1">
      <protection locked="0"/>
    </xf>
    <xf numFmtId="0" fontId="0" fillId="0" borderId="24" xfId="0" applyFont="1" applyFill="1" applyBorder="1" applyProtection="1">
      <protection locked="0"/>
    </xf>
    <xf numFmtId="0" fontId="0" fillId="0" borderId="24" xfId="0" applyFont="1" applyFill="1" applyBorder="1" applyAlignment="1" applyProtection="1">
      <alignment wrapText="1"/>
      <protection locked="0"/>
    </xf>
    <xf numFmtId="0" fontId="0" fillId="0" borderId="24" xfId="0" applyFont="1" applyFill="1" applyBorder="1" applyAlignment="1" applyProtection="1">
      <protection locked="0"/>
    </xf>
    <xf numFmtId="0" fontId="0" fillId="0" borderId="25" xfId="0" applyFont="1" applyFill="1" applyBorder="1" applyAlignment="1" applyProtection="1">
      <alignment horizontal="center"/>
      <protection locked="0"/>
    </xf>
    <xf numFmtId="0" fontId="0" fillId="0" borderId="25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15" fillId="3" borderId="0" xfId="1" applyFont="1" applyFill="1" applyProtection="1">
      <protection locked="0"/>
    </xf>
    <xf numFmtId="0" fontId="0" fillId="3" borderId="0" xfId="0" applyFont="1" applyFill="1" applyAlignment="1" applyProtection="1">
      <alignment wrapText="1"/>
      <protection locked="0"/>
    </xf>
    <xf numFmtId="0" fontId="0" fillId="3" borderId="0" xfId="0" applyFont="1" applyFill="1" applyAlignment="1" applyProtection="1">
      <protection locked="0"/>
    </xf>
    <xf numFmtId="0" fontId="0" fillId="3" borderId="0" xfId="0" applyFont="1" applyFill="1" applyAlignment="1" applyProtection="1">
      <alignment horizontal="center"/>
      <protection locked="0"/>
    </xf>
    <xf numFmtId="0" fontId="16" fillId="4" borderId="8" xfId="0" applyFont="1" applyFill="1" applyBorder="1" applyAlignment="1" applyProtection="1">
      <alignment horizontal="center"/>
    </xf>
    <xf numFmtId="0" fontId="16" fillId="4" borderId="8" xfId="0" applyFont="1" applyFill="1" applyBorder="1" applyAlignment="1" applyProtection="1">
      <alignment horizontal="center" wrapText="1"/>
    </xf>
    <xf numFmtId="0" fontId="17" fillId="0" borderId="0" xfId="0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0" fontId="17" fillId="0" borderId="26" xfId="0" applyFont="1" applyBorder="1" applyAlignment="1" applyProtection="1">
      <alignment horizontal="center"/>
      <protection locked="0"/>
    </xf>
    <xf numFmtId="0" fontId="18" fillId="0" borderId="8" xfId="0" applyFont="1" applyFill="1" applyBorder="1" applyAlignment="1" applyProtection="1">
      <alignment wrapText="1"/>
      <protection locked="0"/>
    </xf>
    <xf numFmtId="0" fontId="17" fillId="0" borderId="8" xfId="0" applyFont="1" applyBorder="1" applyAlignment="1" applyProtection="1">
      <protection locked="0"/>
    </xf>
    <xf numFmtId="0" fontId="17" fillId="0" borderId="8" xfId="0" applyFont="1" applyBorder="1" applyAlignment="1" applyProtection="1">
      <alignment wrapText="1"/>
      <protection locked="0"/>
    </xf>
    <xf numFmtId="0" fontId="18" fillId="3" borderId="8" xfId="0" applyFont="1" applyFill="1" applyBorder="1" applyProtection="1">
      <protection locked="0"/>
    </xf>
    <xf numFmtId="0" fontId="18" fillId="3" borderId="8" xfId="0" applyFont="1" applyFill="1" applyBorder="1" applyAlignment="1" applyProtection="1">
      <alignment wrapText="1"/>
      <protection locked="0"/>
    </xf>
    <xf numFmtId="0" fontId="0" fillId="0" borderId="8" xfId="0" applyFont="1" applyFill="1" applyBorder="1" applyAlignment="1" applyProtection="1">
      <protection locked="0"/>
    </xf>
    <xf numFmtId="0" fontId="0" fillId="0" borderId="8" xfId="0" applyFont="1" applyFill="1" applyBorder="1" applyProtection="1">
      <protection locked="0"/>
    </xf>
    <xf numFmtId="0" fontId="17" fillId="0" borderId="8" xfId="0" applyFont="1" applyFill="1" applyBorder="1" applyProtection="1">
      <protection locked="0"/>
    </xf>
    <xf numFmtId="0" fontId="0" fillId="0" borderId="8" xfId="0" applyFont="1" applyFill="1" applyBorder="1" applyAlignment="1" applyProtection="1">
      <alignment wrapText="1"/>
      <protection locked="0"/>
    </xf>
    <xf numFmtId="0" fontId="19" fillId="0" borderId="8" xfId="0" applyFont="1" applyFill="1" applyBorder="1" applyProtection="1">
      <protection locked="0"/>
    </xf>
    <xf numFmtId="0" fontId="19" fillId="0" borderId="8" xfId="0" applyFont="1" applyFill="1" applyBorder="1" applyAlignment="1" applyProtection="1">
      <alignment horizontal="left"/>
      <protection locked="0"/>
    </xf>
    <xf numFmtId="0" fontId="20" fillId="4" borderId="2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10" fontId="0" fillId="0" borderId="0" xfId="0" applyNumberFormat="1" applyFont="1" applyFill="1" applyBorder="1" applyProtection="1">
      <protection hidden="1"/>
    </xf>
    <xf numFmtId="0" fontId="21" fillId="0" borderId="8" xfId="0" applyFont="1" applyBorder="1" applyAlignment="1" applyProtection="1">
      <protection locked="0"/>
    </xf>
    <xf numFmtId="0" fontId="21" fillId="0" borderId="8" xfId="0" applyFont="1" applyFill="1" applyBorder="1" applyAlignment="1" applyProtection="1">
      <protection locked="0"/>
    </xf>
    <xf numFmtId="0" fontId="0" fillId="0" borderId="0" xfId="0" applyAlignment="1">
      <alignment horizontal="center"/>
    </xf>
    <xf numFmtId="0" fontId="17" fillId="0" borderId="8" xfId="0" applyFont="1" applyBorder="1" applyAlignment="1" applyProtection="1">
      <alignment horizontal="center"/>
      <protection locked="0"/>
    </xf>
    <xf numFmtId="0" fontId="22" fillId="0" borderId="8" xfId="0" applyFont="1" applyFill="1" applyBorder="1" applyProtection="1">
      <protection hidden="1"/>
    </xf>
    <xf numFmtId="0" fontId="7" fillId="0" borderId="8" xfId="0" applyFont="1" applyFill="1" applyBorder="1" applyAlignment="1" applyProtection="1">
      <alignment horizontal="center"/>
      <protection hidden="1"/>
    </xf>
    <xf numFmtId="0" fontId="1" fillId="0" borderId="8" xfId="0" applyFont="1" applyFill="1" applyBorder="1" applyProtection="1">
      <protection hidden="1"/>
    </xf>
    <xf numFmtId="10" fontId="7" fillId="0" borderId="8" xfId="0" applyNumberFormat="1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center" wrapText="1"/>
      <protection hidden="1"/>
    </xf>
    <xf numFmtId="0" fontId="24" fillId="6" borderId="8" xfId="0" applyFont="1" applyFill="1" applyBorder="1" applyAlignment="1" applyProtection="1">
      <alignment horizontal="center"/>
      <protection hidden="1"/>
    </xf>
    <xf numFmtId="0" fontId="24" fillId="6" borderId="8" xfId="0" applyFont="1" applyFill="1" applyBorder="1" applyAlignment="1" applyProtection="1">
      <alignment horizontal="center" wrapText="1"/>
      <protection hidden="1"/>
    </xf>
    <xf numFmtId="10" fontId="1" fillId="0" borderId="0" xfId="0" applyNumberFormat="1" applyFont="1" applyFill="1" applyBorder="1" applyAlignment="1" applyProtection="1">
      <alignment horizontal="center" wrapText="1"/>
      <protection hidden="1"/>
    </xf>
    <xf numFmtId="0" fontId="26" fillId="0" borderId="0" xfId="0" applyFont="1" applyFill="1" applyBorder="1" applyAlignment="1" applyProtection="1">
      <alignment horizontal="center" vertical="center" wrapText="1"/>
      <protection hidden="1"/>
    </xf>
    <xf numFmtId="0" fontId="27" fillId="0" borderId="0" xfId="0" applyFont="1" applyFill="1" applyBorder="1" applyProtection="1">
      <protection hidden="1"/>
    </xf>
    <xf numFmtId="0" fontId="22" fillId="0" borderId="8" xfId="0" applyFont="1" applyFill="1" applyBorder="1" applyAlignment="1" applyProtection="1">
      <alignment horizontal="left"/>
      <protection hidden="1"/>
    </xf>
    <xf numFmtId="0" fontId="23" fillId="0" borderId="35" xfId="0" applyFont="1" applyFill="1" applyBorder="1" applyAlignment="1" applyProtection="1">
      <alignment horizontal="center" vertical="center" wrapText="1"/>
      <protection hidden="1"/>
    </xf>
    <xf numFmtId="10" fontId="25" fillId="0" borderId="35" xfId="0" applyNumberFormat="1" applyFont="1" applyFill="1" applyBorder="1" applyAlignment="1" applyProtection="1">
      <alignment horizontal="center" wrapText="1"/>
      <protection hidden="1"/>
    </xf>
    <xf numFmtId="0" fontId="7" fillId="0" borderId="35" xfId="0" applyFont="1" applyFill="1" applyBorder="1" applyAlignment="1" applyProtection="1">
      <alignment horizontal="center" wrapText="1"/>
      <protection hidden="1"/>
    </xf>
    <xf numFmtId="0" fontId="0" fillId="0" borderId="35" xfId="0" applyFont="1" applyFill="1" applyBorder="1" applyAlignment="1" applyProtection="1">
      <alignment wrapText="1"/>
      <protection hidden="1"/>
    </xf>
    <xf numFmtId="10" fontId="1" fillId="0" borderId="35" xfId="0" applyNumberFormat="1" applyFont="1" applyFill="1" applyBorder="1" applyAlignment="1" applyProtection="1">
      <alignment horizontal="center" wrapText="1"/>
      <protection hidden="1"/>
    </xf>
    <xf numFmtId="0" fontId="26" fillId="0" borderId="35" xfId="0" applyFont="1" applyFill="1" applyBorder="1" applyAlignment="1" applyProtection="1">
      <alignment horizontal="center" vertical="center" wrapText="1"/>
      <protection hidden="1"/>
    </xf>
    <xf numFmtId="0" fontId="27" fillId="0" borderId="32" xfId="0" applyFont="1" applyFill="1" applyBorder="1" applyProtection="1">
      <protection hidden="1"/>
    </xf>
    <xf numFmtId="0" fontId="27" fillId="0" borderId="33" xfId="0" applyFont="1" applyFill="1" applyBorder="1" applyProtection="1">
      <protection hidden="1"/>
    </xf>
    <xf numFmtId="0" fontId="27" fillId="0" borderId="35" xfId="0" applyFont="1" applyFill="1" applyBorder="1" applyProtection="1">
      <protection hidden="1"/>
    </xf>
    <xf numFmtId="0" fontId="2" fillId="2" borderId="28" xfId="0" applyFont="1" applyFill="1" applyBorder="1" applyProtection="1">
      <protection hidden="1"/>
    </xf>
    <xf numFmtId="49" fontId="0" fillId="0" borderId="30" xfId="0" applyNumberFormat="1" applyFont="1" applyBorder="1" applyAlignment="1" applyProtection="1">
      <protection locked="0"/>
    </xf>
    <xf numFmtId="0" fontId="17" fillId="0" borderId="30" xfId="0" applyFont="1" applyBorder="1" applyAlignment="1" applyProtection="1">
      <alignment horizontal="center"/>
      <protection locked="0"/>
    </xf>
    <xf numFmtId="0" fontId="18" fillId="0" borderId="30" xfId="0" applyFont="1" applyFill="1" applyBorder="1" applyAlignment="1" applyProtection="1">
      <alignment wrapText="1"/>
      <protection locked="0"/>
    </xf>
    <xf numFmtId="0" fontId="21" fillId="0" borderId="30" xfId="0" applyFont="1" applyBorder="1" applyAlignment="1" applyProtection="1">
      <protection locked="0"/>
    </xf>
    <xf numFmtId="0" fontId="16" fillId="7" borderId="39" xfId="0" applyFont="1" applyFill="1" applyBorder="1" applyAlignment="1" applyProtection="1">
      <alignment horizontal="center"/>
    </xf>
    <xf numFmtId="0" fontId="16" fillId="7" borderId="40" xfId="0" applyFont="1" applyFill="1" applyBorder="1" applyAlignment="1" applyProtection="1">
      <alignment horizontal="center"/>
    </xf>
    <xf numFmtId="0" fontId="16" fillId="7" borderId="40" xfId="0" applyFont="1" applyFill="1" applyBorder="1" applyAlignment="1" applyProtection="1">
      <alignment horizontal="center" wrapText="1"/>
    </xf>
    <xf numFmtId="0" fontId="16" fillId="7" borderId="41" xfId="0" applyFont="1" applyFill="1" applyBorder="1" applyAlignment="1" applyProtection="1">
      <alignment horizontal="center" wrapText="1"/>
    </xf>
    <xf numFmtId="0" fontId="26" fillId="0" borderId="0" xfId="0" applyFont="1" applyFill="1" applyBorder="1" applyAlignment="1" applyProtection="1">
      <alignment vertical="center" wrapText="1"/>
      <protection hidden="1"/>
    </xf>
    <xf numFmtId="0" fontId="2" fillId="2" borderId="29" xfId="0" applyFont="1" applyFill="1" applyBorder="1" applyProtection="1">
      <protection hidden="1"/>
    </xf>
    <xf numFmtId="0" fontId="2" fillId="2" borderId="10" xfId="0" applyFont="1" applyFill="1" applyBorder="1" applyProtection="1">
      <protection hidden="1"/>
    </xf>
    <xf numFmtId="0" fontId="27" fillId="0" borderId="0" xfId="0" applyFont="1" applyFill="1" applyBorder="1" applyAlignment="1" applyProtection="1">
      <alignment vertical="center"/>
      <protection hidden="1"/>
    </xf>
    <xf numFmtId="0" fontId="2" fillId="9" borderId="0" xfId="0" applyFont="1" applyFill="1" applyBorder="1" applyProtection="1">
      <protection hidden="1"/>
    </xf>
    <xf numFmtId="0" fontId="23" fillId="9" borderId="0" xfId="0" applyFont="1" applyFill="1" applyBorder="1" applyAlignment="1" applyProtection="1">
      <alignment horizontal="center" vertical="center" wrapText="1"/>
      <protection hidden="1"/>
    </xf>
    <xf numFmtId="10" fontId="25" fillId="9" borderId="0" xfId="0" applyNumberFormat="1" applyFont="1" applyFill="1" applyBorder="1" applyAlignment="1" applyProtection="1">
      <alignment horizontal="center" wrapText="1"/>
      <protection hidden="1"/>
    </xf>
    <xf numFmtId="0" fontId="7" fillId="9" borderId="0" xfId="0" applyFont="1" applyFill="1" applyBorder="1" applyAlignment="1" applyProtection="1">
      <alignment horizontal="center" wrapText="1"/>
      <protection hidden="1"/>
    </xf>
    <xf numFmtId="0" fontId="0" fillId="9" borderId="0" xfId="0" applyFont="1" applyFill="1" applyBorder="1" applyAlignment="1" applyProtection="1">
      <alignment wrapText="1"/>
      <protection hidden="1"/>
    </xf>
    <xf numFmtId="10" fontId="1" fillId="9" borderId="0" xfId="0" applyNumberFormat="1" applyFont="1" applyFill="1" applyBorder="1" applyAlignment="1" applyProtection="1">
      <alignment horizontal="center" wrapText="1"/>
      <protection hidden="1"/>
    </xf>
    <xf numFmtId="0" fontId="26" fillId="9" borderId="0" xfId="0" applyFont="1" applyFill="1" applyBorder="1" applyAlignment="1" applyProtection="1">
      <alignment horizontal="center" vertical="center" wrapText="1"/>
      <protection hidden="1"/>
    </xf>
    <xf numFmtId="10" fontId="0" fillId="9" borderId="0" xfId="0" applyNumberFormat="1" applyFont="1" applyFill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24" fillId="6" borderId="8" xfId="0" applyFont="1" applyFill="1" applyBorder="1" applyAlignment="1" applyProtection="1">
      <alignment horizontal="left" wrapText="1"/>
      <protection hidden="1"/>
    </xf>
    <xf numFmtId="0" fontId="23" fillId="6" borderId="8" xfId="0" applyFont="1" applyFill="1" applyBorder="1" applyProtection="1">
      <protection hidden="1"/>
    </xf>
    <xf numFmtId="0" fontId="0" fillId="0" borderId="8" xfId="0" applyFont="1" applyFill="1" applyBorder="1" applyProtection="1">
      <protection hidden="1"/>
    </xf>
    <xf numFmtId="0" fontId="0" fillId="9" borderId="0" xfId="0" applyFont="1" applyFill="1" applyBorder="1" applyProtection="1">
      <protection hidden="1"/>
    </xf>
    <xf numFmtId="0" fontId="0" fillId="9" borderId="0" xfId="0" applyFont="1" applyFill="1" applyBorder="1" applyAlignment="1" applyProtection="1">
      <protection hidden="1"/>
    </xf>
    <xf numFmtId="1" fontId="0" fillId="9" borderId="0" xfId="0" applyNumberFormat="1" applyFont="1" applyFill="1" applyBorder="1" applyAlignment="1" applyProtection="1">
      <alignment horizontal="center"/>
      <protection hidden="1"/>
    </xf>
    <xf numFmtId="0" fontId="0" fillId="0" borderId="8" xfId="0" applyFont="1" applyFill="1" applyBorder="1" applyAlignment="1" applyProtection="1">
      <protection hidden="1"/>
    </xf>
    <xf numFmtId="0" fontId="18" fillId="9" borderId="0" xfId="0" applyFont="1" applyFill="1" applyBorder="1" applyAlignment="1" applyProtection="1">
      <alignment wrapText="1"/>
      <protection hidden="1"/>
    </xf>
    <xf numFmtId="0" fontId="17" fillId="9" borderId="0" xfId="0" applyFont="1" applyFill="1" applyBorder="1" applyAlignment="1" applyProtection="1">
      <protection hidden="1"/>
    </xf>
    <xf numFmtId="0" fontId="17" fillId="0" borderId="0" xfId="0" applyFont="1" applyFill="1" applyBorder="1" applyAlignment="1" applyProtection="1">
      <protection hidden="1"/>
    </xf>
    <xf numFmtId="0" fontId="0" fillId="0" borderId="0" xfId="0" applyFont="1" applyFill="1" applyBorder="1" applyAlignment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0" borderId="5" xfId="0" applyFont="1" applyFill="1" applyBorder="1" applyProtection="1">
      <protection hidden="1"/>
    </xf>
    <xf numFmtId="0" fontId="0" fillId="0" borderId="13" xfId="0" applyFont="1" applyFill="1" applyBorder="1" applyProtection="1">
      <protection hidden="1"/>
    </xf>
    <xf numFmtId="0" fontId="0" fillId="0" borderId="10" xfId="0" applyFont="1" applyFill="1" applyBorder="1" applyProtection="1">
      <protection hidden="1"/>
    </xf>
    <xf numFmtId="0" fontId="0" fillId="0" borderId="14" xfId="0" applyFont="1" applyFill="1" applyBorder="1" applyProtection="1">
      <protection hidden="1"/>
    </xf>
    <xf numFmtId="0" fontId="0" fillId="0" borderId="19" xfId="0" applyFont="1" applyFill="1" applyBorder="1" applyProtection="1">
      <protection hidden="1"/>
    </xf>
    <xf numFmtId="0" fontId="1" fillId="0" borderId="20" xfId="0" applyFont="1" applyFill="1" applyBorder="1" applyProtection="1">
      <protection hidden="1"/>
    </xf>
    <xf numFmtId="9" fontId="0" fillId="9" borderId="0" xfId="0" applyNumberFormat="1" applyFont="1" applyFill="1" applyBorder="1" applyProtection="1">
      <protection hidden="1"/>
    </xf>
    <xf numFmtId="0" fontId="1" fillId="8" borderId="8" xfId="0" applyFont="1" applyFill="1" applyBorder="1" applyAlignment="1" applyProtection="1">
      <alignment horizontal="center"/>
      <protection hidden="1"/>
    </xf>
    <xf numFmtId="9" fontId="0" fillId="0" borderId="8" xfId="0" applyNumberFormat="1" applyFont="1" applyFill="1" applyBorder="1" applyProtection="1">
      <protection hidden="1"/>
    </xf>
    <xf numFmtId="4" fontId="0" fillId="0" borderId="8" xfId="0" applyNumberFormat="1" applyFont="1" applyFill="1" applyBorder="1" applyProtection="1">
      <protection hidden="1"/>
    </xf>
    <xf numFmtId="10" fontId="0" fillId="0" borderId="8" xfId="0" applyNumberFormat="1" applyFont="1" applyFill="1" applyBorder="1" applyProtection="1">
      <protection hidden="1"/>
    </xf>
    <xf numFmtId="0" fontId="0" fillId="0" borderId="0" xfId="0" applyNumberFormat="1" applyFont="1" applyFill="1" applyBorder="1" applyProtection="1">
      <protection hidden="1"/>
    </xf>
    <xf numFmtId="0" fontId="0" fillId="8" borderId="8" xfId="0" applyFont="1" applyFill="1" applyBorder="1" applyAlignment="1" applyProtection="1">
      <alignment horizontal="center"/>
      <protection hidden="1"/>
    </xf>
    <xf numFmtId="0" fontId="0" fillId="0" borderId="8" xfId="0" applyFont="1" applyFill="1" applyBorder="1" applyAlignment="1" applyProtection="1">
      <alignment horizontal="center"/>
      <protection hidden="1"/>
    </xf>
    <xf numFmtId="0" fontId="18" fillId="9" borderId="0" xfId="0" applyFont="1" applyFill="1" applyBorder="1" applyProtection="1">
      <protection hidden="1"/>
    </xf>
    <xf numFmtId="0" fontId="18" fillId="0" borderId="0" xfId="0" applyFont="1" applyFill="1" applyBorder="1" applyProtection="1">
      <protection hidden="1"/>
    </xf>
    <xf numFmtId="0" fontId="18" fillId="0" borderId="0" xfId="0" applyFont="1" applyFill="1" applyBorder="1" applyAlignment="1" applyProtection="1">
      <alignment wrapText="1"/>
      <protection hidden="1"/>
    </xf>
    <xf numFmtId="0" fontId="17" fillId="0" borderId="0" xfId="0" applyFont="1" applyFill="1" applyBorder="1" applyProtection="1">
      <protection hidden="1"/>
    </xf>
    <xf numFmtId="0" fontId="19" fillId="0" borderId="0" xfId="0" applyFont="1" applyFill="1" applyBorder="1" applyProtection="1">
      <protection hidden="1"/>
    </xf>
    <xf numFmtId="0" fontId="19" fillId="0" borderId="0" xfId="0" applyFont="1" applyFill="1" applyBorder="1" applyAlignment="1" applyProtection="1">
      <alignment horizontal="left"/>
      <protection hidden="1"/>
    </xf>
    <xf numFmtId="0" fontId="28" fillId="0" borderId="31" xfId="0" applyFont="1" applyFill="1" applyBorder="1" applyProtection="1">
      <protection hidden="1"/>
    </xf>
    <xf numFmtId="0" fontId="28" fillId="0" borderId="32" xfId="0" applyFont="1" applyFill="1" applyBorder="1" applyProtection="1">
      <protection hidden="1"/>
    </xf>
    <xf numFmtId="0" fontId="28" fillId="0" borderId="32" xfId="0" applyFont="1" applyFill="1" applyBorder="1" applyAlignment="1" applyProtection="1">
      <alignment horizontal="right" wrapText="1"/>
      <protection hidden="1"/>
    </xf>
    <xf numFmtId="0" fontId="28" fillId="0" borderId="34" xfId="0" applyFont="1" applyFill="1" applyBorder="1" applyProtection="1">
      <protection hidden="1"/>
    </xf>
    <xf numFmtId="0" fontId="28" fillId="0" borderId="0" xfId="0" applyFont="1" applyFill="1" applyBorder="1" applyAlignment="1" applyProtection="1">
      <alignment horizontal="right" wrapText="1"/>
      <protection hidden="1"/>
    </xf>
    <xf numFmtId="0" fontId="28" fillId="0" borderId="0" xfId="0" applyFont="1" applyFill="1" applyBorder="1" applyProtection="1">
      <protection hidden="1"/>
    </xf>
    <xf numFmtId="0" fontId="28" fillId="0" borderId="0" xfId="0" applyFont="1" applyFill="1" applyBorder="1" applyAlignment="1" applyProtection="1">
      <alignment wrapText="1"/>
      <protection hidden="1"/>
    </xf>
    <xf numFmtId="0" fontId="28" fillId="0" borderId="35" xfId="0" applyFont="1" applyFill="1" applyBorder="1" applyAlignment="1" applyProtection="1">
      <alignment wrapText="1"/>
      <protection hidden="1"/>
    </xf>
    <xf numFmtId="0" fontId="27" fillId="0" borderId="0" xfId="0" applyFont="1" applyFill="1" applyBorder="1" applyAlignment="1" applyProtection="1">
      <alignment wrapText="1"/>
      <protection hidden="1"/>
    </xf>
    <xf numFmtId="0" fontId="0" fillId="0" borderId="34" xfId="0" applyFont="1" applyFill="1" applyBorder="1" applyProtection="1">
      <protection hidden="1"/>
    </xf>
    <xf numFmtId="0" fontId="0" fillId="0" borderId="0" xfId="0" applyFont="1" applyFill="1" applyBorder="1" applyAlignment="1" applyProtection="1">
      <alignment horizontal="left" wrapText="1"/>
      <protection hidden="1"/>
    </xf>
    <xf numFmtId="0" fontId="2" fillId="0" borderId="0" xfId="0" applyFont="1" applyFill="1" applyBorder="1" applyProtection="1">
      <protection hidden="1"/>
    </xf>
    <xf numFmtId="10" fontId="2" fillId="0" borderId="0" xfId="0" applyNumberFormat="1" applyFont="1" applyFill="1" applyBorder="1" applyAlignment="1" applyProtection="1">
      <alignment horizontal="center"/>
      <protection hidden="1"/>
    </xf>
    <xf numFmtId="1" fontId="0" fillId="0" borderId="0" xfId="0" applyNumberFormat="1" applyFont="1" applyFill="1" applyBorder="1" applyAlignment="1" applyProtection="1">
      <alignment horizontal="center"/>
      <protection hidden="1"/>
    </xf>
    <xf numFmtId="1" fontId="0" fillId="0" borderId="35" xfId="0" applyNumberFormat="1" applyFont="1" applyFill="1" applyBorder="1" applyAlignment="1" applyProtection="1">
      <alignment horizontal="center"/>
      <protection hidden="1"/>
    </xf>
    <xf numFmtId="0" fontId="11" fillId="0" borderId="0" xfId="0" applyFont="1" applyFill="1" applyBorder="1" applyAlignment="1" applyProtection="1">
      <protection hidden="1"/>
    </xf>
    <xf numFmtId="0" fontId="1" fillId="0" borderId="0" xfId="0" applyFont="1" applyFill="1" applyBorder="1" applyAlignment="1" applyProtection="1">
      <alignment horizontal="center" wrapText="1"/>
      <protection hidden="1"/>
    </xf>
    <xf numFmtId="0" fontId="12" fillId="0" borderId="0" xfId="0" applyFont="1" applyFill="1" applyBorder="1" applyProtection="1">
      <protection hidden="1"/>
    </xf>
    <xf numFmtId="0" fontId="12" fillId="0" borderId="0" xfId="0" applyFont="1" applyFill="1" applyBorder="1" applyAlignment="1" applyProtection="1">
      <protection hidden="1"/>
    </xf>
    <xf numFmtId="0" fontId="2" fillId="0" borderId="0" xfId="0" applyFont="1" applyFill="1" applyBorder="1" applyAlignment="1" applyProtection="1">
      <alignment wrapText="1"/>
      <protection hidden="1"/>
    </xf>
    <xf numFmtId="0" fontId="18" fillId="0" borderId="35" xfId="0" applyFont="1" applyFill="1" applyBorder="1" applyAlignment="1" applyProtection="1">
      <alignment wrapText="1"/>
      <protection hidden="1"/>
    </xf>
    <xf numFmtId="0" fontId="0" fillId="0" borderId="36" xfId="0" applyFont="1" applyFill="1" applyBorder="1" applyProtection="1">
      <protection hidden="1"/>
    </xf>
    <xf numFmtId="0" fontId="18" fillId="0" borderId="37" xfId="0" applyFont="1" applyFill="1" applyBorder="1" applyProtection="1">
      <protection hidden="1"/>
    </xf>
    <xf numFmtId="0" fontId="18" fillId="0" borderId="37" xfId="0" applyFont="1" applyFill="1" applyBorder="1" applyAlignment="1" applyProtection="1">
      <alignment wrapText="1"/>
      <protection hidden="1"/>
    </xf>
    <xf numFmtId="0" fontId="18" fillId="0" borderId="38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44" fillId="9" borderId="0" xfId="0" applyFont="1" applyFill="1" applyBorder="1" applyProtection="1">
      <protection hidden="1"/>
    </xf>
    <xf numFmtId="0" fontId="30" fillId="0" borderId="15" xfId="0" applyFont="1" applyFill="1" applyBorder="1" applyProtection="1">
      <protection locked="0"/>
    </xf>
    <xf numFmtId="0" fontId="30" fillId="0" borderId="15" xfId="0" applyFont="1" applyFill="1" applyBorder="1" applyAlignment="1" applyProtection="1">
      <alignment horizontal="left"/>
      <protection locked="0"/>
    </xf>
    <xf numFmtId="0" fontId="30" fillId="0" borderId="6" xfId="0" applyFont="1" applyFill="1" applyBorder="1" applyProtection="1">
      <protection locked="0"/>
    </xf>
    <xf numFmtId="1" fontId="30" fillId="0" borderId="15" xfId="0" applyNumberFormat="1" applyFont="1" applyFill="1" applyBorder="1" applyAlignment="1" applyProtection="1">
      <alignment horizontal="center"/>
      <protection locked="0"/>
    </xf>
    <xf numFmtId="0" fontId="45" fillId="0" borderId="5" xfId="0" applyFont="1" applyFill="1" applyBorder="1" applyAlignment="1" applyProtection="1">
      <alignment vertical="center" wrapText="1"/>
      <protection hidden="1"/>
    </xf>
    <xf numFmtId="0" fontId="27" fillId="0" borderId="19" xfId="0" applyFont="1" applyFill="1" applyBorder="1" applyAlignment="1" applyProtection="1">
      <alignment vertical="center"/>
      <protection hidden="1"/>
    </xf>
    <xf numFmtId="0" fontId="45" fillId="0" borderId="26" xfId="0" applyFont="1" applyFill="1" applyBorder="1" applyAlignment="1" applyProtection="1">
      <alignment vertical="center" wrapText="1"/>
      <protection hidden="1"/>
    </xf>
    <xf numFmtId="0" fontId="46" fillId="9" borderId="0" xfId="1" quotePrefix="1" applyFont="1" applyFill="1" applyBorder="1" applyAlignment="1" applyProtection="1">
      <alignment wrapText="1"/>
      <protection hidden="1"/>
    </xf>
    <xf numFmtId="0" fontId="39" fillId="11" borderId="28" xfId="0" applyFont="1" applyFill="1" applyBorder="1" applyAlignment="1" applyProtection="1">
      <alignment horizontal="center" vertical="center" wrapText="1"/>
      <protection locked="0"/>
    </xf>
    <xf numFmtId="0" fontId="39" fillId="11" borderId="8" xfId="0" applyFont="1" applyFill="1" applyBorder="1" applyAlignment="1" applyProtection="1">
      <alignment horizontal="center" vertical="center" wrapText="1"/>
      <protection locked="0"/>
    </xf>
    <xf numFmtId="0" fontId="0" fillId="0" borderId="27" xfId="0" applyFont="1" applyFill="1" applyBorder="1" applyAlignment="1" applyProtection="1">
      <protection hidden="1"/>
    </xf>
    <xf numFmtId="0" fontId="0" fillId="0" borderId="27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1" fillId="0" borderId="8" xfId="0" applyNumberFormat="1" applyFont="1" applyFill="1" applyBorder="1" applyProtection="1">
      <protection hidden="1"/>
    </xf>
    <xf numFmtId="0" fontId="0" fillId="0" borderId="0" xfId="0" applyAlignment="1">
      <alignment horizontal="center"/>
    </xf>
    <xf numFmtId="0" fontId="18" fillId="3" borderId="8" xfId="0" applyFont="1" applyFill="1" applyBorder="1" applyAlignment="1" applyProtection="1">
      <alignment horizontal="center"/>
      <protection locked="0"/>
    </xf>
    <xf numFmtId="0" fontId="17" fillId="0" borderId="8" xfId="0" applyFont="1" applyFill="1" applyBorder="1" applyAlignment="1" applyProtection="1">
      <alignment horizontal="center"/>
      <protection locked="0"/>
    </xf>
    <xf numFmtId="0" fontId="19" fillId="0" borderId="8" xfId="0" applyFont="1" applyFill="1" applyBorder="1" applyAlignment="1" applyProtection="1">
      <alignment horizontal="center"/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hidden="1"/>
    </xf>
    <xf numFmtId="0" fontId="18" fillId="3" borderId="8" xfId="0" applyFont="1" applyFill="1" applyBorder="1" applyAlignment="1" applyProtection="1">
      <protection locked="0"/>
    </xf>
    <xf numFmtId="0" fontId="17" fillId="0" borderId="8" xfId="0" applyFont="1" applyFill="1" applyBorder="1" applyAlignment="1" applyProtection="1">
      <protection locked="0"/>
    </xf>
    <xf numFmtId="0" fontId="19" fillId="0" borderId="8" xfId="0" applyFont="1" applyFill="1" applyBorder="1" applyAlignment="1" applyProtection="1">
      <protection locked="0"/>
    </xf>
    <xf numFmtId="0" fontId="1" fillId="0" borderId="0" xfId="0" applyFont="1" applyFill="1" applyBorder="1" applyAlignment="1" applyProtection="1">
      <alignment horizontal="center" wrapText="1"/>
      <protection hidden="1"/>
    </xf>
    <xf numFmtId="0" fontId="0" fillId="0" borderId="0" xfId="0" applyFont="1" applyFill="1" applyBorder="1" applyAlignment="1" applyProtection="1">
      <alignment horizontal="left" wrapTex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27" fillId="0" borderId="8" xfId="0" applyFont="1" applyFill="1" applyBorder="1" applyAlignment="1" applyProtection="1">
      <alignment horizontal="center"/>
      <protection hidden="1"/>
    </xf>
    <xf numFmtId="10" fontId="27" fillId="0" borderId="8" xfId="0" applyNumberFormat="1" applyFont="1" applyFill="1" applyBorder="1" applyAlignment="1" applyProtection="1">
      <alignment horizontal="center" wrapText="1"/>
      <protection hidden="1"/>
    </xf>
    <xf numFmtId="0" fontId="27" fillId="0" borderId="8" xfId="0" applyFont="1" applyFill="1" applyBorder="1" applyAlignment="1" applyProtection="1">
      <alignment horizontal="center" wrapText="1"/>
      <protection hidden="1"/>
    </xf>
    <xf numFmtId="0" fontId="27" fillId="0" borderId="8" xfId="0" applyFont="1" applyFill="1" applyBorder="1" applyAlignment="1" applyProtection="1">
      <alignment horizontal="center" vertical="center" wrapText="1"/>
      <protection hidden="1"/>
    </xf>
    <xf numFmtId="1" fontId="27" fillId="0" borderId="8" xfId="0" applyNumberFormat="1" applyFont="1" applyFill="1" applyBorder="1" applyAlignment="1" applyProtection="1">
      <alignment horizontal="center"/>
      <protection hidden="1"/>
    </xf>
    <xf numFmtId="0" fontId="44" fillId="9" borderId="0" xfId="0" applyFont="1" applyFill="1" applyBorder="1" applyAlignment="1" applyProtection="1">
      <protection hidden="1"/>
    </xf>
    <xf numFmtId="0" fontId="1" fillId="13" borderId="8" xfId="0" applyFont="1" applyFill="1" applyBorder="1" applyAlignment="1" applyProtection="1">
      <alignment horizontal="center"/>
      <protection hidden="1"/>
    </xf>
    <xf numFmtId="0" fontId="30" fillId="0" borderId="15" xfId="0" applyNumberFormat="1" applyFont="1" applyFill="1" applyBorder="1" applyAlignment="1" applyProtection="1">
      <alignment horizontal="center" vertical="center" wrapText="1"/>
    </xf>
    <xf numFmtId="0" fontId="1" fillId="0" borderId="27" xfId="0" applyFont="1" applyFill="1" applyBorder="1" applyAlignment="1" applyProtection="1">
      <alignment horizontal="center"/>
      <protection hidden="1"/>
    </xf>
    <xf numFmtId="9" fontId="39" fillId="11" borderId="30" xfId="0" applyNumberFormat="1" applyFont="1" applyFill="1" applyBorder="1" applyAlignment="1" applyProtection="1">
      <alignment horizontal="center" vertical="center"/>
    </xf>
    <xf numFmtId="0" fontId="27" fillId="0" borderId="27" xfId="0" applyFont="1" applyFill="1" applyBorder="1" applyAlignment="1" applyProtection="1">
      <alignment horizontal="center"/>
      <protection hidden="1"/>
    </xf>
    <xf numFmtId="9" fontId="0" fillId="9" borderId="0" xfId="0" applyNumberFormat="1" applyFont="1" applyFill="1" applyBorder="1" applyAlignment="1" applyProtection="1">
      <protection hidden="1"/>
    </xf>
    <xf numFmtId="49" fontId="30" fillId="0" borderId="15" xfId="0" applyNumberFormat="1" applyFont="1" applyFill="1" applyBorder="1" applyProtection="1">
      <protection locked="0"/>
    </xf>
    <xf numFmtId="0" fontId="47" fillId="9" borderId="0" xfId="1" quotePrefix="1" applyFont="1" applyFill="1" applyBorder="1" applyAlignment="1" applyProtection="1">
      <alignment wrapText="1"/>
      <protection hidden="1"/>
    </xf>
    <xf numFmtId="0" fontId="1" fillId="0" borderId="27" xfId="0" applyFont="1" applyFill="1" applyBorder="1" applyAlignment="1" applyProtection="1">
      <protection hidden="1"/>
    </xf>
    <xf numFmtId="9" fontId="1" fillId="0" borderId="27" xfId="0" applyNumberFormat="1" applyFont="1" applyFill="1" applyBorder="1" applyAlignment="1" applyProtection="1">
      <alignment horizontal="center"/>
      <protection hidden="1"/>
    </xf>
    <xf numFmtId="164" fontId="30" fillId="0" borderId="6" xfId="0" applyNumberFormat="1" applyFont="1" applyFill="1" applyBorder="1" applyAlignment="1" applyProtection="1">
      <alignment horizontal="left"/>
      <protection locked="0"/>
    </xf>
    <xf numFmtId="164" fontId="0" fillId="0" borderId="0" xfId="0" applyNumberFormat="1" applyFont="1" applyFill="1" applyBorder="1" applyAlignment="1" applyProtection="1">
      <alignment horizontal="right"/>
      <protection hidden="1"/>
    </xf>
    <xf numFmtId="0" fontId="0" fillId="9" borderId="0" xfId="0" applyNumberFormat="1" applyFont="1" applyFill="1" applyBorder="1" applyAlignment="1" applyProtection="1">
      <alignment horizontal="right"/>
      <protection hidden="1"/>
    </xf>
    <xf numFmtId="0" fontId="0" fillId="0" borderId="0" xfId="0" applyNumberFormat="1" applyFont="1" applyFill="1" applyBorder="1" applyAlignment="1" applyProtection="1">
      <alignment horizontal="right"/>
      <protection hidden="1"/>
    </xf>
    <xf numFmtId="0" fontId="0" fillId="0" borderId="0" xfId="0" applyFont="1" applyFill="1" applyBorder="1" applyAlignment="1" applyProtection="1">
      <alignment horizontal="right"/>
      <protection hidden="1"/>
    </xf>
    <xf numFmtId="9" fontId="0" fillId="0" borderId="0" xfId="0" applyNumberFormat="1" applyFont="1" applyFill="1" applyBorder="1" applyAlignment="1" applyProtection="1">
      <alignment horizontal="right"/>
      <protection hidden="1"/>
    </xf>
    <xf numFmtId="0" fontId="0" fillId="9" borderId="0" xfId="0" applyFont="1" applyFill="1" applyBorder="1" applyAlignment="1" applyProtection="1">
      <alignment horizontal="right"/>
      <protection hidden="1"/>
    </xf>
    <xf numFmtId="10" fontId="34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Alignment="1">
      <alignment wrapText="1"/>
    </xf>
    <xf numFmtId="0" fontId="0" fillId="5" borderId="1" xfId="0" applyFill="1" applyBorder="1"/>
    <xf numFmtId="0" fontId="0" fillId="5" borderId="2" xfId="0" applyFill="1" applyBorder="1"/>
    <xf numFmtId="0" fontId="0" fillId="5" borderId="2" xfId="0" applyFill="1" applyBorder="1" applyAlignment="1">
      <alignment wrapText="1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0" xfId="0" applyFill="1" applyBorder="1" applyAlignment="1">
      <alignment wrapText="1"/>
    </xf>
    <xf numFmtId="0" fontId="0" fillId="5" borderId="9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4" xfId="0" applyFill="1" applyBorder="1" applyAlignment="1">
      <alignment wrapText="1"/>
    </xf>
    <xf numFmtId="0" fontId="0" fillId="5" borderId="25" xfId="0" applyFill="1" applyBorder="1"/>
    <xf numFmtId="0" fontId="0" fillId="0" borderId="8" xfId="0" applyBorder="1"/>
    <xf numFmtId="0" fontId="48" fillId="14" borderId="43" xfId="0" applyFont="1" applyFill="1" applyBorder="1" applyAlignment="1">
      <alignment vertical="center" wrapText="1"/>
    </xf>
    <xf numFmtId="0" fontId="49" fillId="0" borderId="44" xfId="0" applyFont="1" applyBorder="1" applyAlignment="1">
      <alignment vertical="center" wrapText="1"/>
    </xf>
    <xf numFmtId="0" fontId="1" fillId="0" borderId="0" xfId="0" applyFont="1" applyBorder="1" applyAlignment="1"/>
    <xf numFmtId="165" fontId="49" fillId="0" borderId="45" xfId="0" applyNumberFormat="1" applyFont="1" applyBorder="1" applyAlignment="1">
      <alignment vertical="center" wrapText="1"/>
    </xf>
    <xf numFmtId="0" fontId="0" fillId="0" borderId="0" xfId="0" applyBorder="1" applyAlignment="1"/>
    <xf numFmtId="14" fontId="0" fillId="0" borderId="45" xfId="0" applyNumberFormat="1" applyBorder="1" applyAlignment="1">
      <alignment vertical="center" wrapText="1"/>
    </xf>
    <xf numFmtId="0" fontId="0" fillId="0" borderId="0" xfId="0" quotePrefix="1" applyBorder="1" applyAlignment="1"/>
    <xf numFmtId="0" fontId="0" fillId="0" borderId="45" xfId="0" applyBorder="1" applyAlignment="1">
      <alignment vertical="center" wrapText="1"/>
    </xf>
    <xf numFmtId="15" fontId="0" fillId="0" borderId="0" xfId="0" applyNumberFormat="1" applyBorder="1" applyAlignment="1"/>
    <xf numFmtId="0" fontId="48" fillId="14" borderId="43" xfId="0" applyFont="1" applyFill="1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0" xfId="0" applyAlignment="1"/>
    <xf numFmtId="0" fontId="49" fillId="0" borderId="45" xfId="0" applyFont="1" applyBorder="1" applyAlignment="1">
      <alignment vertical="center" wrapText="1"/>
    </xf>
    <xf numFmtId="0" fontId="48" fillId="14" borderId="44" xfId="0" applyFont="1" applyFill="1" applyBorder="1" applyAlignment="1">
      <alignment vertical="center"/>
    </xf>
    <xf numFmtId="14" fontId="50" fillId="0" borderId="46" xfId="0" applyNumberFormat="1" applyFont="1" applyBorder="1" applyAlignment="1">
      <alignment vertical="center"/>
    </xf>
    <xf numFmtId="165" fontId="50" fillId="0" borderId="47" xfId="0" applyNumberFormat="1" applyFont="1" applyBorder="1" applyAlignment="1">
      <alignment vertical="center"/>
    </xf>
    <xf numFmtId="0" fontId="50" fillId="0" borderId="47" xfId="0" applyFont="1" applyBorder="1" applyAlignment="1">
      <alignment vertical="center"/>
    </xf>
    <xf numFmtId="0" fontId="51" fillId="0" borderId="46" xfId="0" applyFont="1" applyBorder="1" applyAlignment="1">
      <alignment vertical="center"/>
    </xf>
    <xf numFmtId="0" fontId="52" fillId="0" borderId="47" xfId="0" applyFont="1" applyBorder="1" applyAlignment="1">
      <alignment vertical="center"/>
    </xf>
    <xf numFmtId="0" fontId="51" fillId="0" borderId="47" xfId="0" applyFont="1" applyBorder="1" applyAlignment="1">
      <alignment vertical="center"/>
    </xf>
    <xf numFmtId="0" fontId="38" fillId="0" borderId="0" xfId="0" applyFont="1" applyFill="1" applyBorder="1" applyAlignment="1" applyProtection="1">
      <alignment horizontal="center" vertical="center"/>
      <protection hidden="1"/>
    </xf>
    <xf numFmtId="0" fontId="40" fillId="9" borderId="37" xfId="1" applyFont="1" applyFill="1" applyBorder="1" applyAlignment="1" applyProtection="1"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 wrapText="1"/>
      <protection hidden="1"/>
    </xf>
    <xf numFmtId="10" fontId="34" fillId="0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wrapText="1"/>
      <protection hidden="1"/>
    </xf>
    <xf numFmtId="0" fontId="1" fillId="0" borderId="0" xfId="0" applyFont="1" applyFill="1" applyBorder="1" applyAlignment="1" applyProtection="1">
      <alignment horizontal="center" wrapText="1"/>
      <protection hidden="1"/>
    </xf>
    <xf numFmtId="0" fontId="41" fillId="0" borderId="42" xfId="0" applyFont="1" applyFill="1" applyBorder="1" applyAlignment="1" applyProtection="1">
      <alignment horizontal="center" vertical="center"/>
      <protection hidden="1"/>
    </xf>
    <xf numFmtId="0" fontId="41" fillId="0" borderId="15" xfId="0" applyFont="1" applyFill="1" applyBorder="1" applyAlignment="1" applyProtection="1">
      <alignment horizontal="center" vertical="center"/>
      <protection hidden="1"/>
    </xf>
    <xf numFmtId="0" fontId="38" fillId="12" borderId="0" xfId="0" applyFont="1" applyFill="1" applyBorder="1" applyAlignment="1" applyProtection="1">
      <alignment horizontal="center" vertical="center" wrapText="1"/>
      <protection hidden="1"/>
    </xf>
    <xf numFmtId="0" fontId="32" fillId="0" borderId="19" xfId="0" applyFont="1" applyFill="1" applyBorder="1" applyAlignment="1" applyProtection="1">
      <alignment horizontal="center" wrapText="1"/>
      <protection hidden="1"/>
    </xf>
    <xf numFmtId="0" fontId="32" fillId="0" borderId="15" xfId="0" applyFont="1" applyFill="1" applyBorder="1" applyAlignment="1" applyProtection="1">
      <alignment horizontal="center" wrapText="1"/>
      <protection hidden="1"/>
    </xf>
    <xf numFmtId="0" fontId="32" fillId="0" borderId="20" xfId="0" applyFont="1" applyFill="1" applyBorder="1" applyAlignment="1" applyProtection="1">
      <alignment horizontal="center" wrapText="1"/>
      <protection hidden="1"/>
    </xf>
    <xf numFmtId="0" fontId="37" fillId="0" borderId="0" xfId="0" applyFont="1" applyFill="1" applyBorder="1" applyAlignment="1" applyProtection="1">
      <alignment horizontal="center" wrapText="1"/>
      <protection hidden="1"/>
    </xf>
    <xf numFmtId="0" fontId="31" fillId="0" borderId="0" xfId="0" applyFont="1" applyFill="1" applyBorder="1" applyAlignment="1" applyProtection="1">
      <alignment horizontal="center" vertical="center"/>
      <protection hidden="1"/>
    </xf>
    <xf numFmtId="0" fontId="38" fillId="12" borderId="0" xfId="0" applyFont="1" applyFill="1" applyBorder="1" applyAlignment="1" applyProtection="1">
      <alignment horizontal="center" vertical="center"/>
      <protection hidden="1"/>
    </xf>
    <xf numFmtId="10" fontId="33" fillId="0" borderId="5" xfId="0" applyNumberFormat="1" applyFont="1" applyFill="1" applyBorder="1" applyAlignment="1" applyProtection="1">
      <alignment horizontal="center" vertical="center" wrapText="1"/>
      <protection hidden="1"/>
    </xf>
    <xf numFmtId="10" fontId="33" fillId="0" borderId="42" xfId="0" applyNumberFormat="1" applyFont="1" applyFill="1" applyBorder="1" applyAlignment="1" applyProtection="1">
      <alignment horizontal="center" vertical="center" wrapText="1"/>
      <protection hidden="1"/>
    </xf>
    <xf numFmtId="10" fontId="33" fillId="0" borderId="13" xfId="0" applyNumberFormat="1" applyFont="1" applyFill="1" applyBorder="1" applyAlignment="1" applyProtection="1">
      <alignment horizontal="center" vertical="center" wrapText="1"/>
      <protection hidden="1"/>
    </xf>
    <xf numFmtId="10" fontId="33" fillId="0" borderId="10" xfId="0" applyNumberFormat="1" applyFont="1" applyFill="1" applyBorder="1" applyAlignment="1" applyProtection="1">
      <alignment horizontal="center" vertical="center" wrapText="1"/>
      <protection hidden="1"/>
    </xf>
    <xf numFmtId="10" fontId="33" fillId="0" borderId="0" xfId="0" applyNumberFormat="1" applyFont="1" applyFill="1" applyBorder="1" applyAlignment="1" applyProtection="1">
      <alignment horizontal="center" vertical="center" wrapText="1"/>
      <protection hidden="1"/>
    </xf>
    <xf numFmtId="10" fontId="3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35" fillId="10" borderId="5" xfId="0" applyFont="1" applyFill="1" applyBorder="1" applyAlignment="1" applyProtection="1">
      <alignment horizontal="center" vertical="center" wrapText="1"/>
      <protection hidden="1"/>
    </xf>
    <xf numFmtId="0" fontId="35" fillId="10" borderId="42" xfId="0" applyFont="1" applyFill="1" applyBorder="1" applyAlignment="1" applyProtection="1">
      <alignment horizontal="center" vertical="center" wrapText="1"/>
      <protection hidden="1"/>
    </xf>
    <xf numFmtId="0" fontId="35" fillId="10" borderId="13" xfId="0" applyFont="1" applyFill="1" applyBorder="1" applyAlignment="1" applyProtection="1">
      <alignment horizontal="center" vertical="center" wrapText="1"/>
      <protection hidden="1"/>
    </xf>
    <xf numFmtId="0" fontId="35" fillId="10" borderId="19" xfId="0" applyFont="1" applyFill="1" applyBorder="1" applyAlignment="1" applyProtection="1">
      <alignment horizontal="center" vertical="center" wrapText="1"/>
      <protection hidden="1"/>
    </xf>
    <xf numFmtId="0" fontId="35" fillId="10" borderId="15" xfId="0" applyFont="1" applyFill="1" applyBorder="1" applyAlignment="1" applyProtection="1">
      <alignment horizontal="center" vertical="center" wrapText="1"/>
      <protection hidden="1"/>
    </xf>
    <xf numFmtId="0" fontId="35" fillId="10" borderId="20" xfId="0" applyFont="1" applyFill="1" applyBorder="1" applyAlignment="1" applyProtection="1">
      <alignment horizontal="center" vertical="center" wrapText="1"/>
      <protection hidden="1"/>
    </xf>
    <xf numFmtId="0" fontId="42" fillId="0" borderId="5" xfId="0" applyFont="1" applyFill="1" applyBorder="1" applyAlignment="1" applyProtection="1">
      <alignment horizontal="center" vertical="center" wrapText="1"/>
      <protection hidden="1"/>
    </xf>
    <xf numFmtId="0" fontId="42" fillId="0" borderId="19" xfId="0" applyFont="1" applyFill="1" applyBorder="1" applyAlignment="1" applyProtection="1">
      <alignment horizontal="center" vertical="center" wrapText="1"/>
      <protection hidden="1"/>
    </xf>
    <xf numFmtId="0" fontId="43" fillId="0" borderId="13" xfId="0" applyFont="1" applyFill="1" applyBorder="1" applyAlignment="1" applyProtection="1">
      <alignment horizontal="center" vertical="center"/>
      <protection hidden="1"/>
    </xf>
    <xf numFmtId="0" fontId="43" fillId="0" borderId="2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29" fillId="0" borderId="0" xfId="1" applyFont="1" applyAlignment="1"/>
    <xf numFmtId="0" fontId="36" fillId="0" borderId="0" xfId="0" applyFont="1" applyFill="1" applyBorder="1" applyAlignment="1" applyProtection="1">
      <alignment horizontal="center"/>
      <protection hidden="1"/>
    </xf>
    <xf numFmtId="0" fontId="14" fillId="0" borderId="14" xfId="0" applyFont="1" applyFill="1" applyBorder="1" applyAlignment="1" applyProtection="1">
      <alignment horizontal="center" vertical="center" wrapText="1"/>
      <protection hidden="1"/>
    </xf>
    <xf numFmtId="0" fontId="0" fillId="0" borderId="6" xfId="0" applyFont="1" applyFill="1" applyBorder="1" applyAlignment="1" applyProtection="1">
      <alignment horizontal="left"/>
      <protection locked="0"/>
    </xf>
    <xf numFmtId="0" fontId="0" fillId="0" borderId="7" xfId="0" applyFont="1" applyFill="1" applyBorder="1" applyAlignment="1" applyProtection="1">
      <alignment horizontal="left" wrapText="1"/>
      <protection locked="0"/>
    </xf>
    <xf numFmtId="0" fontId="8" fillId="2" borderId="17" xfId="0" applyFont="1" applyFill="1" applyBorder="1" applyAlignment="1" applyProtection="1">
      <alignment horizontal="center" wrapText="1"/>
      <protection hidden="1"/>
    </xf>
    <xf numFmtId="0" fontId="8" fillId="2" borderId="18" xfId="0" applyFont="1" applyFill="1" applyBorder="1" applyAlignment="1" applyProtection="1">
      <alignment horizontal="center" wrapText="1"/>
      <protection hidden="1"/>
    </xf>
    <xf numFmtId="0" fontId="8" fillId="2" borderId="11" xfId="0" applyFont="1" applyFill="1" applyBorder="1" applyAlignment="1" applyProtection="1">
      <alignment horizontal="center" wrapText="1"/>
      <protection hidden="1"/>
    </xf>
    <xf numFmtId="0" fontId="8" fillId="2" borderId="12" xfId="0" applyFont="1" applyFill="1" applyBorder="1" applyAlignment="1" applyProtection="1">
      <alignment horizontal="center" wrapText="1"/>
      <protection hidden="1"/>
    </xf>
  </cellXfs>
  <cellStyles count="2">
    <cellStyle name="Hyperlink" xfId="1" builtinId="8"/>
    <cellStyle name="Normal" xfId="0" builtinId="0"/>
  </cellStyles>
  <dxfs count="17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FFE600"/>
      </font>
    </dxf>
    <dxf>
      <font>
        <color rgb="FFFFC800"/>
      </font>
    </dxf>
    <dxf>
      <font>
        <color theme="0"/>
      </font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</dxf>
    <dxf>
      <font>
        <color rgb="FFFFE600"/>
      </font>
    </dxf>
    <dxf>
      <font>
        <color rgb="FFFFC800"/>
      </font>
    </dxf>
    <dxf>
      <font>
        <color theme="0"/>
      </font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E62D"/>
      <color rgb="FFFFE600"/>
      <color rgb="FFFF3300"/>
      <color rgb="FFFF6D4B"/>
      <color rgb="FFFC6E04"/>
      <color rgb="FFFFC800"/>
      <color rgb="FFFFFF00"/>
      <color rgb="FFFAFAFA"/>
      <color rgb="FFEEEEEE"/>
      <color rgb="FFD1FD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399449533163122E-2"/>
          <c:y val="0.21244305709669015"/>
          <c:w val="0.88980806458376038"/>
          <c:h val="0.494665422344454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'Reviewer''s report'!$AK$4</c:f>
              <c:strCache>
                <c:ptCount val="1"/>
                <c:pt idx="0">
                  <c:v>Total Issues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'Reviewer''s report'!$AJ$5:$AJ$28</c:f>
              <c:strCache>
                <c:ptCount val="24"/>
                <c:pt idx="0">
                  <c:v>Concept</c:v>
                </c:pt>
                <c:pt idx="1">
                  <c:v>Calculation</c:v>
                </c:pt>
                <c:pt idx="2">
                  <c:v>Consistency (text)</c:v>
                </c:pt>
                <c:pt idx="3">
                  <c:v>Instruction</c:v>
                </c:pt>
                <c:pt idx="4">
                  <c:v>Feedback</c:v>
                </c:pt>
                <c:pt idx="5">
                  <c:v>Give-away</c:v>
                </c:pt>
                <c:pt idx="6">
                  <c:v>Dropdown</c:v>
                </c:pt>
                <c:pt idx="7">
                  <c:v>Consistency (across chapter)</c:v>
                </c:pt>
                <c:pt idx="8">
                  <c:v>Missing tags/description</c:v>
                </c:pt>
                <c:pt idx="9">
                  <c:v>Carousel/Narration</c:v>
                </c:pt>
                <c:pt idx="10">
                  <c:v>Rephrasing</c:v>
                </c:pt>
                <c:pt idx="11">
                  <c:v>Formatting</c:v>
                </c:pt>
                <c:pt idx="12">
                  <c:v>Setup issue(s)</c:v>
                </c:pt>
                <c:pt idx="13">
                  <c:v>Formula</c:v>
                </c:pt>
                <c:pt idx="14">
                  <c:v>Pos/Neg</c:v>
                </c:pt>
                <c:pt idx="15">
                  <c:v>Shuffle group</c:v>
                </c:pt>
                <c:pt idx="16">
                  <c:v>Graded/non-graded</c:v>
                </c:pt>
                <c:pt idx="17">
                  <c:v>Minor typo</c:v>
                </c:pt>
                <c:pt idx="18">
                  <c:v>Grading</c:v>
                </c:pt>
                <c:pt idx="19">
                  <c:v>Suggestion</c:v>
                </c:pt>
                <c:pt idx="20">
                  <c:v>Incorrect reporting</c:v>
                </c:pt>
                <c:pt idx="21">
                  <c:v>Algo consistency</c:v>
                </c:pt>
                <c:pt idx="22">
                  <c:v>Adherence to guidelines</c:v>
                </c:pt>
                <c:pt idx="23">
                  <c:v>0</c:v>
                </c:pt>
              </c:strCache>
            </c:strRef>
          </c:cat>
          <c:val>
            <c:numRef>
              <c:f>'Reviewer''s report'!$AK$5:$AK$28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'Reviewer''s report'!$AL$4</c:f>
              <c:strCache>
                <c:ptCount val="1"/>
                <c:pt idx="0">
                  <c:v>Additionally reported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'Reviewer''s report'!$AJ$5:$AJ$28</c:f>
              <c:strCache>
                <c:ptCount val="24"/>
                <c:pt idx="0">
                  <c:v>Concept</c:v>
                </c:pt>
                <c:pt idx="1">
                  <c:v>Calculation</c:v>
                </c:pt>
                <c:pt idx="2">
                  <c:v>Consistency (text)</c:v>
                </c:pt>
                <c:pt idx="3">
                  <c:v>Instruction</c:v>
                </c:pt>
                <c:pt idx="4">
                  <c:v>Feedback</c:v>
                </c:pt>
                <c:pt idx="5">
                  <c:v>Give-away</c:v>
                </c:pt>
                <c:pt idx="6">
                  <c:v>Dropdown</c:v>
                </c:pt>
                <c:pt idx="7">
                  <c:v>Consistency (across chapter)</c:v>
                </c:pt>
                <c:pt idx="8">
                  <c:v>Missing tags/description</c:v>
                </c:pt>
                <c:pt idx="9">
                  <c:v>Carousel/Narration</c:v>
                </c:pt>
                <c:pt idx="10">
                  <c:v>Rephrasing</c:v>
                </c:pt>
                <c:pt idx="11">
                  <c:v>Formatting</c:v>
                </c:pt>
                <c:pt idx="12">
                  <c:v>Setup issue(s)</c:v>
                </c:pt>
                <c:pt idx="13">
                  <c:v>Formula</c:v>
                </c:pt>
                <c:pt idx="14">
                  <c:v>Pos/Neg</c:v>
                </c:pt>
                <c:pt idx="15">
                  <c:v>Shuffle group</c:v>
                </c:pt>
                <c:pt idx="16">
                  <c:v>Graded/non-graded</c:v>
                </c:pt>
                <c:pt idx="17">
                  <c:v>Minor typo</c:v>
                </c:pt>
                <c:pt idx="18">
                  <c:v>Grading</c:v>
                </c:pt>
                <c:pt idx="19">
                  <c:v>Suggestion</c:v>
                </c:pt>
                <c:pt idx="20">
                  <c:v>Incorrect reporting</c:v>
                </c:pt>
                <c:pt idx="21">
                  <c:v>Algo consistency</c:v>
                </c:pt>
                <c:pt idx="22">
                  <c:v>Adherence to guidelines</c:v>
                </c:pt>
                <c:pt idx="23">
                  <c:v>0</c:v>
                </c:pt>
              </c:strCache>
            </c:strRef>
          </c:cat>
          <c:val>
            <c:numRef>
              <c:f>'Reviewer''s report'!$AL$5:$AL$28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264376"/>
        <c:axId val="481264768"/>
      </c:barChart>
      <c:catAx>
        <c:axId val="48126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64768"/>
        <c:crosses val="autoZero"/>
        <c:auto val="0"/>
        <c:lblAlgn val="ctr"/>
        <c:lblOffset val="100"/>
        <c:noMultiLvlLbl val="0"/>
      </c:catAx>
      <c:valAx>
        <c:axId val="48126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Issues Noticed</a:t>
                </a:r>
                <a:r>
                  <a:rPr lang="en-US" baseline="0"/>
                  <a:t> Vs Captured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643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206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'Spotchecks-QA audit'!$AK$4</c:f>
              <c:strCache>
                <c:ptCount val="1"/>
                <c:pt idx="0">
                  <c:v>Total Issues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'Spotchecks-QA audit'!$AJ$5:$AJ$28</c:f>
              <c:strCache>
                <c:ptCount val="24"/>
                <c:pt idx="0">
                  <c:v>Concept</c:v>
                </c:pt>
                <c:pt idx="1">
                  <c:v>Calculation</c:v>
                </c:pt>
                <c:pt idx="2">
                  <c:v>Consistency (text)</c:v>
                </c:pt>
                <c:pt idx="3">
                  <c:v>Instruction</c:v>
                </c:pt>
                <c:pt idx="4">
                  <c:v>Feedback</c:v>
                </c:pt>
                <c:pt idx="5">
                  <c:v>Give-away</c:v>
                </c:pt>
                <c:pt idx="6">
                  <c:v>Dropdown</c:v>
                </c:pt>
                <c:pt idx="7">
                  <c:v>Consistency (across chapter)</c:v>
                </c:pt>
                <c:pt idx="8">
                  <c:v>Missing tags/description</c:v>
                </c:pt>
                <c:pt idx="9">
                  <c:v>Carousel/Narration</c:v>
                </c:pt>
                <c:pt idx="10">
                  <c:v>Rephrasing</c:v>
                </c:pt>
                <c:pt idx="11">
                  <c:v>Formatting</c:v>
                </c:pt>
                <c:pt idx="12">
                  <c:v>Setup issue(s)</c:v>
                </c:pt>
                <c:pt idx="13">
                  <c:v>Formula</c:v>
                </c:pt>
                <c:pt idx="14">
                  <c:v>Pos/Neg</c:v>
                </c:pt>
                <c:pt idx="15">
                  <c:v>Shuffle group</c:v>
                </c:pt>
                <c:pt idx="16">
                  <c:v>Graded/non-graded</c:v>
                </c:pt>
                <c:pt idx="17">
                  <c:v>Minor typo</c:v>
                </c:pt>
                <c:pt idx="18">
                  <c:v>Grading</c:v>
                </c:pt>
                <c:pt idx="19">
                  <c:v>Suggestion</c:v>
                </c:pt>
                <c:pt idx="20">
                  <c:v>Incorrect reporting</c:v>
                </c:pt>
                <c:pt idx="21">
                  <c:v>Algo consistency</c:v>
                </c:pt>
                <c:pt idx="22">
                  <c:v>Adherence to guidelines</c:v>
                </c:pt>
                <c:pt idx="23">
                  <c:v>0</c:v>
                </c:pt>
              </c:strCache>
            </c:strRef>
          </c:cat>
          <c:val>
            <c:numRef>
              <c:f>'Spotchecks-QA audit'!$AK$5:$AK$28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'Spotchecks-QA audit'!$AL$4</c:f>
              <c:strCache>
                <c:ptCount val="1"/>
                <c:pt idx="0">
                  <c:v>Additionally reported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'Spotchecks-QA audit'!$AJ$5:$AJ$28</c:f>
              <c:strCache>
                <c:ptCount val="24"/>
                <c:pt idx="0">
                  <c:v>Concept</c:v>
                </c:pt>
                <c:pt idx="1">
                  <c:v>Calculation</c:v>
                </c:pt>
                <c:pt idx="2">
                  <c:v>Consistency (text)</c:v>
                </c:pt>
                <c:pt idx="3">
                  <c:v>Instruction</c:v>
                </c:pt>
                <c:pt idx="4">
                  <c:v>Feedback</c:v>
                </c:pt>
                <c:pt idx="5">
                  <c:v>Give-away</c:v>
                </c:pt>
                <c:pt idx="6">
                  <c:v>Dropdown</c:v>
                </c:pt>
                <c:pt idx="7">
                  <c:v>Consistency (across chapter)</c:v>
                </c:pt>
                <c:pt idx="8">
                  <c:v>Missing tags/description</c:v>
                </c:pt>
                <c:pt idx="9">
                  <c:v>Carousel/Narration</c:v>
                </c:pt>
                <c:pt idx="10">
                  <c:v>Rephrasing</c:v>
                </c:pt>
                <c:pt idx="11">
                  <c:v>Formatting</c:v>
                </c:pt>
                <c:pt idx="12">
                  <c:v>Setup issue(s)</c:v>
                </c:pt>
                <c:pt idx="13">
                  <c:v>Formula</c:v>
                </c:pt>
                <c:pt idx="14">
                  <c:v>Pos/Neg</c:v>
                </c:pt>
                <c:pt idx="15">
                  <c:v>Shuffle group</c:v>
                </c:pt>
                <c:pt idx="16">
                  <c:v>Graded/non-graded</c:v>
                </c:pt>
                <c:pt idx="17">
                  <c:v>Minor typo</c:v>
                </c:pt>
                <c:pt idx="18">
                  <c:v>Grading</c:v>
                </c:pt>
                <c:pt idx="19">
                  <c:v>Suggestion</c:v>
                </c:pt>
                <c:pt idx="20">
                  <c:v>Incorrect reporting</c:v>
                </c:pt>
                <c:pt idx="21">
                  <c:v>Algo consistency</c:v>
                </c:pt>
                <c:pt idx="22">
                  <c:v>Adherence to guidelines</c:v>
                </c:pt>
                <c:pt idx="23">
                  <c:v>0</c:v>
                </c:pt>
              </c:strCache>
            </c:strRef>
          </c:cat>
          <c:val>
            <c:numRef>
              <c:f>'Spotchecks-QA audit'!$AL$5:$AL$28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940752"/>
        <c:axId val="478941144"/>
      </c:barChart>
      <c:catAx>
        <c:axId val="47894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1144"/>
        <c:crosses val="autoZero"/>
        <c:auto val="0"/>
        <c:lblAlgn val="ctr"/>
        <c:lblOffset val="100"/>
        <c:noMultiLvlLbl val="0"/>
      </c:catAx>
      <c:valAx>
        <c:axId val="47894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Issues Noticed</a:t>
                </a:r>
                <a:r>
                  <a:rPr lang="en-US" baseline="0"/>
                  <a:t> Vs Captured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9407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206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857249</xdr:colOff>
      <xdr:row>2</xdr:row>
      <xdr:rowOff>28575</xdr:rowOff>
    </xdr:from>
    <xdr:to>
      <xdr:col>3</xdr:col>
      <xdr:colOff>3122518</xdr:colOff>
      <xdr:row>5</xdr:row>
      <xdr:rowOff>180439</xdr:rowOff>
    </xdr:to>
    <xdr:pic>
      <xdr:nvPicPr>
        <xdr:cNvPr id="2" name="Picture 1" descr="http://www.ansrsource.com/assets/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6500" y="419273"/>
          <a:ext cx="4202134" cy="7254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40217</xdr:colOff>
      <xdr:row>14</xdr:row>
      <xdr:rowOff>114300</xdr:rowOff>
    </xdr:from>
    <xdr:to>
      <xdr:col>14</xdr:col>
      <xdr:colOff>188383</xdr:colOff>
      <xdr:row>33</xdr:row>
      <xdr:rowOff>142875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583269</xdr:colOff>
      <xdr:row>2</xdr:row>
      <xdr:rowOff>51752</xdr:rowOff>
    </xdr:from>
    <xdr:to>
      <xdr:col>12</xdr:col>
      <xdr:colOff>59376</xdr:colOff>
      <xdr:row>6</xdr:row>
      <xdr:rowOff>33533</xdr:rowOff>
    </xdr:to>
    <xdr:pic>
      <xdr:nvPicPr>
        <xdr:cNvPr id="2" name="Picture 1" descr="Screen Clippin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1015" y="467388"/>
          <a:ext cx="3014954" cy="943682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561975</xdr:colOff>
          <xdr:row>6</xdr:row>
          <xdr:rowOff>180975</xdr:rowOff>
        </xdr:from>
        <xdr:to>
          <xdr:col>12</xdr:col>
          <xdr:colOff>19050</xdr:colOff>
          <xdr:row>8</xdr:row>
          <xdr:rowOff>161925</xdr:rowOff>
        </xdr:to>
        <xdr:sp macro="" textlink="">
          <xdr:nvSpPr>
            <xdr:cNvPr id="1025" name="CommandButton1" descr="USE THIS COMMAND TOOL TO UPDATE THE PT TRACKER.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40217</xdr:colOff>
      <xdr:row>14</xdr:row>
      <xdr:rowOff>114300</xdr:rowOff>
    </xdr:from>
    <xdr:to>
      <xdr:col>14</xdr:col>
      <xdr:colOff>188383</xdr:colOff>
      <xdr:row>33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535768</xdr:colOff>
      <xdr:row>2</xdr:row>
      <xdr:rowOff>4250</xdr:rowOff>
    </xdr:from>
    <xdr:to>
      <xdr:col>12</xdr:col>
      <xdr:colOff>11875</xdr:colOff>
      <xdr:row>6</xdr:row>
      <xdr:rowOff>0</xdr:rowOff>
    </xdr:to>
    <xdr:pic>
      <xdr:nvPicPr>
        <xdr:cNvPr id="3" name="Picture 2" descr="Screen Clipping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2853" y="405217"/>
          <a:ext cx="3016350" cy="963938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6</xdr:row>
          <xdr:rowOff>171450</xdr:rowOff>
        </xdr:from>
        <xdr:to>
          <xdr:col>11</xdr:col>
          <xdr:colOff>790575</xdr:colOff>
          <xdr:row>8</xdr:row>
          <xdr:rowOff>161925</xdr:rowOff>
        </xdr:to>
        <xdr:sp macro="" textlink="">
          <xdr:nvSpPr>
            <xdr:cNvPr id="2049" name="UPDATE" descr="USE THIS COMMAND TOOL TO UPDATE THE PT TRACKER.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23"/>
  <sheetViews>
    <sheetView showGridLines="0" tabSelected="1" workbookViewId="0"/>
  </sheetViews>
  <sheetFormatPr defaultRowHeight="15" x14ac:dyDescent="0.25"/>
  <cols>
    <col min="2" max="2" width="22.140625" customWidth="1"/>
    <col min="3" max="3" width="25.85546875" customWidth="1"/>
    <col min="4" max="4" width="56.85546875" bestFit="1" customWidth="1"/>
    <col min="5" max="5" width="31.42578125" bestFit="1" customWidth="1"/>
    <col min="6" max="7" width="24" bestFit="1" customWidth="1"/>
  </cols>
  <sheetData>
    <row r="1" spans="2:6" x14ac:dyDescent="0.25">
      <c r="D1" s="241"/>
    </row>
    <row r="2" spans="2:6" ht="15.75" thickBot="1" x14ac:dyDescent="0.3">
      <c r="D2" s="241"/>
    </row>
    <row r="3" spans="2:6" x14ac:dyDescent="0.25">
      <c r="B3" s="242"/>
      <c r="C3" s="243"/>
      <c r="D3" s="244"/>
      <c r="E3" s="243"/>
      <c r="F3" s="245"/>
    </row>
    <row r="4" spans="2:6" x14ac:dyDescent="0.25">
      <c r="B4" s="246"/>
      <c r="C4" s="247"/>
      <c r="D4" s="248"/>
      <c r="E4" s="247"/>
      <c r="F4" s="249"/>
    </row>
    <row r="5" spans="2:6" x14ac:dyDescent="0.25">
      <c r="B5" s="246"/>
      <c r="C5" s="247"/>
      <c r="D5" s="248"/>
      <c r="E5" s="247"/>
      <c r="F5" s="249"/>
    </row>
    <row r="6" spans="2:6" ht="15.75" thickBot="1" x14ac:dyDescent="0.3">
      <c r="B6" s="250"/>
      <c r="C6" s="251"/>
      <c r="D6" s="252"/>
      <c r="E6" s="251"/>
      <c r="F6" s="253"/>
    </row>
    <row r="7" spans="2:6" x14ac:dyDescent="0.25">
      <c r="D7" s="241"/>
    </row>
    <row r="8" spans="2:6" x14ac:dyDescent="0.25">
      <c r="D8" s="241"/>
    </row>
    <row r="9" spans="2:6" ht="15.75" thickBot="1" x14ac:dyDescent="0.3">
      <c r="B9" s="254" t="s">
        <v>103</v>
      </c>
    </row>
    <row r="10" spans="2:6" ht="30.75" thickBot="1" x14ac:dyDescent="0.3">
      <c r="B10" s="255" t="s">
        <v>104</v>
      </c>
      <c r="C10" s="256" t="s">
        <v>105</v>
      </c>
      <c r="D10" s="257"/>
      <c r="E10" s="257"/>
      <c r="F10" s="257"/>
    </row>
    <row r="11" spans="2:6" ht="15.75" thickBot="1" x14ac:dyDescent="0.3">
      <c r="B11" s="255" t="s">
        <v>106</v>
      </c>
      <c r="C11" s="258">
        <v>1.1000000000000001</v>
      </c>
      <c r="D11" s="259"/>
      <c r="E11" s="259"/>
      <c r="F11" s="259"/>
    </row>
    <row r="12" spans="2:6" ht="15.75" thickBot="1" x14ac:dyDescent="0.3">
      <c r="B12" s="255" t="s">
        <v>107</v>
      </c>
      <c r="C12" s="260">
        <v>42370</v>
      </c>
      <c r="D12" s="261"/>
      <c r="E12" s="261"/>
      <c r="F12" s="261"/>
    </row>
    <row r="13" spans="2:6" ht="15.75" thickBot="1" x14ac:dyDescent="0.3">
      <c r="B13" s="255" t="s">
        <v>108</v>
      </c>
      <c r="C13" s="262" t="s">
        <v>109</v>
      </c>
      <c r="D13" s="263"/>
      <c r="E13" s="263"/>
      <c r="F13" s="263"/>
    </row>
    <row r="14" spans="2:6" s="266" customFormat="1" ht="15.75" thickBot="1" x14ac:dyDescent="0.3">
      <c r="B14" s="264" t="s">
        <v>110</v>
      </c>
      <c r="C14" s="265" t="s">
        <v>111</v>
      </c>
    </row>
    <row r="15" spans="2:6" ht="15.75" thickBot="1" x14ac:dyDescent="0.3">
      <c r="B15" s="255" t="s">
        <v>112</v>
      </c>
      <c r="C15" s="267" t="s">
        <v>113</v>
      </c>
      <c r="D15" s="241"/>
    </row>
    <row r="16" spans="2:6" x14ac:dyDescent="0.25">
      <c r="D16" s="241"/>
    </row>
    <row r="17" spans="2:7" x14ac:dyDescent="0.25">
      <c r="D17" s="241"/>
    </row>
    <row r="18" spans="2:7" ht="15.75" thickBot="1" x14ac:dyDescent="0.3">
      <c r="B18" s="254" t="s">
        <v>114</v>
      </c>
    </row>
    <row r="19" spans="2:7" ht="15.75" thickBot="1" x14ac:dyDescent="0.3">
      <c r="B19" s="264" t="s">
        <v>115</v>
      </c>
      <c r="C19" s="268" t="s">
        <v>116</v>
      </c>
      <c r="D19" s="268" t="s">
        <v>117</v>
      </c>
      <c r="E19" s="268" t="s">
        <v>118</v>
      </c>
      <c r="F19" s="268" t="s">
        <v>119</v>
      </c>
      <c r="G19" s="268" t="s">
        <v>120</v>
      </c>
    </row>
    <row r="20" spans="2:7" ht="15.75" thickBot="1" x14ac:dyDescent="0.3">
      <c r="B20" s="269">
        <v>41640</v>
      </c>
      <c r="C20" s="270">
        <v>1</v>
      </c>
      <c r="D20" s="271" t="s">
        <v>121</v>
      </c>
      <c r="E20" s="271" t="s">
        <v>122</v>
      </c>
      <c r="F20" s="271" t="s">
        <v>123</v>
      </c>
      <c r="G20" s="271" t="s">
        <v>123</v>
      </c>
    </row>
    <row r="21" spans="2:7" ht="15.75" thickBot="1" x14ac:dyDescent="0.3">
      <c r="B21" s="269" t="s">
        <v>124</v>
      </c>
      <c r="C21" s="270">
        <v>1.1000000000000001</v>
      </c>
      <c r="D21" s="271" t="s">
        <v>125</v>
      </c>
      <c r="E21" s="271" t="s">
        <v>126</v>
      </c>
      <c r="F21" s="271" t="s">
        <v>123</v>
      </c>
      <c r="G21" s="271" t="s">
        <v>123</v>
      </c>
    </row>
    <row r="22" spans="2:7" ht="15.75" thickBot="1" x14ac:dyDescent="0.3">
      <c r="B22" s="272"/>
      <c r="C22" s="273"/>
      <c r="D22" s="274"/>
      <c r="E22" s="273"/>
      <c r="F22" s="273"/>
      <c r="G22" s="273"/>
    </row>
    <row r="23" spans="2:7" ht="15.75" thickBot="1" x14ac:dyDescent="0.3">
      <c r="B23" s="272"/>
      <c r="C23" s="273"/>
      <c r="D23" s="274"/>
      <c r="E23" s="273"/>
      <c r="F23" s="273"/>
      <c r="G23" s="273"/>
    </row>
  </sheetData>
  <sheetProtection algorithmName="SHA-512" hashValue="r3I7bDbHs3T2xhQ4F4Uu8UinwNcLQkHQaptJ2ddFl4DuO6SyorU0WvzGnl3SzG81woak4Cg7XH/J5lq+eO9Xag==" saltValue="X/FrlwacUjTY0kb47zpXtw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25"/>
  <sheetViews>
    <sheetView showGridLines="0" showRowColHeaders="0" topLeftCell="B1" zoomScale="70" zoomScaleNormal="70" workbookViewId="0">
      <selection activeCell="AJ2" sqref="AJ2"/>
    </sheetView>
  </sheetViews>
  <sheetFormatPr defaultColWidth="0" defaultRowHeight="15" zeroHeight="1" x14ac:dyDescent="0.25"/>
  <cols>
    <col min="1" max="1" width="7.5703125" style="237" hidden="1" customWidth="1"/>
    <col min="2" max="2" width="3.28515625" style="133" customWidth="1"/>
    <col min="3" max="3" width="10.28515625" style="129" customWidth="1"/>
    <col min="4" max="4" width="26.140625" style="129" bestFit="1" customWidth="1"/>
    <col min="5" max="5" width="32.42578125" style="129" customWidth="1"/>
    <col min="6" max="6" width="8" style="82" customWidth="1"/>
    <col min="7" max="7" width="4.7109375" style="82" customWidth="1"/>
    <col min="8" max="8" width="30.7109375" style="82" customWidth="1"/>
    <col min="9" max="9" width="4.7109375" style="82" customWidth="1"/>
    <col min="10" max="10" width="8" style="82" customWidth="1"/>
    <col min="11" max="11" width="28.7109375" style="82" customWidth="1"/>
    <col min="12" max="12" width="10.7109375" style="82" customWidth="1"/>
    <col min="13" max="14" width="8.5703125" style="82" customWidth="1"/>
    <col min="15" max="15" width="3.42578125" style="82" customWidth="1"/>
    <col min="16" max="35" width="3.28515625" style="125" customWidth="1"/>
    <col min="36" max="36" width="26.5703125" style="129" bestFit="1" customWidth="1"/>
    <col min="37" max="37" width="11.5703125" style="129" customWidth="1"/>
    <col min="38" max="38" width="14.7109375" style="140" customWidth="1"/>
    <col min="39" max="39" width="10.7109375" style="129" hidden="1" customWidth="1"/>
    <col min="40" max="40" width="3.28515625" style="129" hidden="1" customWidth="1"/>
    <col min="41" max="41" width="3.5703125" style="129" hidden="1" customWidth="1"/>
    <col min="42" max="42" width="6" style="129" hidden="1" customWidth="1"/>
    <col min="43" max="43" width="3.28515625" style="129" hidden="1" customWidth="1"/>
    <col min="44" max="44" width="8.5703125" style="129" hidden="1" customWidth="1"/>
    <col min="45" max="45" width="21" style="129" hidden="1" customWidth="1"/>
    <col min="46" max="46" width="24.7109375" style="129" hidden="1" customWidth="1"/>
    <col min="47" max="47" width="20.7109375" style="129" hidden="1" customWidth="1"/>
    <col min="48" max="49" width="9.140625" style="129" hidden="1" customWidth="1"/>
    <col min="50" max="50" width="5.42578125" style="129" hidden="1" customWidth="1"/>
    <col min="51" max="52" width="9.140625" style="129" hidden="1" customWidth="1"/>
    <col min="53" max="54" width="10.28515625" style="129" hidden="1" customWidth="1"/>
    <col min="55" max="55" width="9.5703125" style="129" hidden="1" customWidth="1"/>
    <col min="56" max="16384" width="9.140625" style="129" hidden="1"/>
  </cols>
  <sheetData>
    <row r="1" spans="1:55" s="133" customFormat="1" ht="16.5" thickBot="1" x14ac:dyDescent="0.3">
      <c r="A1" s="234">
        <f>E7</f>
        <v>0</v>
      </c>
      <c r="B1" s="148" t="s">
        <v>90</v>
      </c>
      <c r="C1" s="276" t="s">
        <v>63</v>
      </c>
      <c r="D1" s="276"/>
      <c r="F1" s="125"/>
      <c r="G1" s="125"/>
      <c r="H1" s="125"/>
      <c r="I1" s="125"/>
      <c r="J1" s="125"/>
      <c r="K1" s="125"/>
      <c r="L1" s="125"/>
      <c r="M1" s="125"/>
      <c r="N1" s="230" t="s">
        <v>65</v>
      </c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L1" s="134"/>
    </row>
    <row r="2" spans="1:55" ht="15.75" thickTop="1" x14ac:dyDescent="0.25">
      <c r="A2" s="235">
        <f>E6</f>
        <v>0</v>
      </c>
      <c r="B2" s="148" t="s">
        <v>90</v>
      </c>
      <c r="C2" s="162"/>
      <c r="D2" s="163"/>
      <c r="E2" s="163"/>
      <c r="F2" s="164"/>
      <c r="G2" s="164"/>
      <c r="H2" s="164"/>
      <c r="I2" s="164"/>
      <c r="J2" s="105"/>
      <c r="K2" s="105"/>
      <c r="L2" s="105"/>
      <c r="M2" s="105"/>
      <c r="N2" s="105"/>
      <c r="O2" s="106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200"/>
      <c r="AJ2" s="231" t="s">
        <v>99</v>
      </c>
      <c r="AK2" s="232" t="str">
        <f>IF(OR(E11=" ",SUM(AL7+AL9+AL13+AL26)=0),"100%",1-((SUM(AL7+AL9+AL13+AL26)/SUM(AK7+AK9+AK13+AK26))))</f>
        <v>100%</v>
      </c>
      <c r="AL2" s="134"/>
      <c r="AS2" s="129">
        <f>AX29</f>
        <v>24</v>
      </c>
      <c r="BB2" s="129" t="s">
        <v>52</v>
      </c>
    </row>
    <row r="3" spans="1:55" ht="15.75" x14ac:dyDescent="0.25">
      <c r="A3" s="236">
        <f>E5</f>
        <v>0</v>
      </c>
      <c r="B3" s="148" t="s">
        <v>90</v>
      </c>
      <c r="C3" s="165"/>
      <c r="D3" s="97" t="s">
        <v>0</v>
      </c>
      <c r="E3" s="189"/>
      <c r="F3" s="166"/>
      <c r="G3" s="284" t="s">
        <v>61</v>
      </c>
      <c r="H3" s="284"/>
      <c r="I3" s="284"/>
      <c r="J3" s="97"/>
      <c r="M3" s="97"/>
      <c r="N3" s="97"/>
      <c r="O3" s="107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8"/>
      <c r="AK3" s="133"/>
      <c r="AL3" s="134"/>
    </row>
    <row r="4" spans="1:55" ht="30" x14ac:dyDescent="0.25">
      <c r="A4" s="236">
        <f>E3</f>
        <v>0</v>
      </c>
      <c r="B4" s="148" t="s">
        <v>90</v>
      </c>
      <c r="C4" s="165"/>
      <c r="D4" s="97" t="s">
        <v>78</v>
      </c>
      <c r="E4" s="190"/>
      <c r="F4" s="166"/>
      <c r="G4" s="291" t="str">
        <f>IFERROR(AL29,"")</f>
        <v/>
      </c>
      <c r="H4" s="292"/>
      <c r="I4" s="293"/>
      <c r="M4" s="120"/>
      <c r="N4" s="97"/>
      <c r="O4" s="107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93"/>
      <c r="AJ4" s="93" t="s">
        <v>2</v>
      </c>
      <c r="AK4" s="94" t="s">
        <v>71</v>
      </c>
      <c r="AL4" s="94" t="s">
        <v>88</v>
      </c>
      <c r="AM4" s="130" t="s">
        <v>4</v>
      </c>
      <c r="AN4" s="131"/>
      <c r="AO4" s="131"/>
      <c r="AP4" s="93"/>
      <c r="AQ4" s="131"/>
      <c r="AR4" s="131"/>
      <c r="AS4" s="132" t="s">
        <v>5</v>
      </c>
      <c r="AT4" s="132" t="s">
        <v>6</v>
      </c>
      <c r="AU4" s="132" t="s">
        <v>7</v>
      </c>
      <c r="AV4" s="132"/>
      <c r="AW4" s="132"/>
      <c r="AX4" s="132"/>
      <c r="BB4" s="129" t="s">
        <v>52</v>
      </c>
      <c r="BC4" s="129" t="s">
        <v>58</v>
      </c>
    </row>
    <row r="5" spans="1:55" x14ac:dyDescent="0.25">
      <c r="A5" s="236">
        <f>E4</f>
        <v>0</v>
      </c>
      <c r="B5" s="148" t="s">
        <v>90</v>
      </c>
      <c r="C5" s="165"/>
      <c r="D5" s="97" t="s">
        <v>73</v>
      </c>
      <c r="E5" s="189"/>
      <c r="F5" s="166"/>
      <c r="G5" s="294"/>
      <c r="H5" s="295"/>
      <c r="I5" s="296"/>
      <c r="J5" s="129"/>
      <c r="M5" s="167"/>
      <c r="N5" s="97"/>
      <c r="O5" s="107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217" t="s">
        <v>92</v>
      </c>
      <c r="AJ5" s="88" t="s">
        <v>9</v>
      </c>
      <c r="AK5" s="88">
        <f>AS5</f>
        <v>0</v>
      </c>
      <c r="AL5" s="89">
        <f>COUNTIF('AC Report'!$G$27:$G$1048576,AJ5)</f>
        <v>0</v>
      </c>
      <c r="AM5" s="149">
        <v>5</v>
      </c>
      <c r="AN5" s="132">
        <f>AL5+AL6+AL7+AL8+AL9+AL13+AL14+AL17+AL23+AL18+AL19+AL20+AL21+AL27</f>
        <v>0</v>
      </c>
      <c r="AO5" s="150" t="str">
        <f>$B$1</f>
        <v xml:space="preserve"> </v>
      </c>
      <c r="AP5" s="151" t="e">
        <f>AM5*(100/$E$11)</f>
        <v>#DIV/0!</v>
      </c>
      <c r="AQ5" s="132" t="e">
        <f>AP5*AL5</f>
        <v>#DIV/0!</v>
      </c>
      <c r="AR5" s="152" t="e">
        <f t="shared" ref="AR5:AR14" si="0">(AL5/AK5)</f>
        <v>#DIV/0!</v>
      </c>
      <c r="AS5" s="89">
        <f>COUNTIF('AC Report'!$H$27:$H$1048576,AJ5)</f>
        <v>0</v>
      </c>
      <c r="AT5" s="132">
        <f>AM5*AS5</f>
        <v>0</v>
      </c>
      <c r="AU5" s="132">
        <f>AL5*AM5</f>
        <v>0</v>
      </c>
      <c r="AV5" s="132"/>
      <c r="AW5" s="132"/>
      <c r="AX5" s="132" t="b">
        <f>AL5&lt;=AS5</f>
        <v>1</v>
      </c>
      <c r="BA5" s="129" t="s">
        <v>41</v>
      </c>
      <c r="BB5" s="129" t="s">
        <v>40</v>
      </c>
      <c r="BC5" s="129" t="s">
        <v>57</v>
      </c>
    </row>
    <row r="6" spans="1:55" ht="15" customHeight="1" x14ac:dyDescent="0.3">
      <c r="A6" s="236">
        <f>AL5</f>
        <v>0</v>
      </c>
      <c r="B6" s="148" t="s">
        <v>90</v>
      </c>
      <c r="C6" s="165"/>
      <c r="D6" s="97" t="s">
        <v>12</v>
      </c>
      <c r="E6" s="191"/>
      <c r="F6" s="166"/>
      <c r="G6" s="285" t="str">
        <f>IF(AND(G4&lt;=90%,G4&gt;70%,AL5=0,AL6=0,AL7=0),"Attention Required !",IF(AND(G4&lt;=95%,G4&gt;90%,AL5=0,AL6=0,AL7=0),"Keep it up !",IF(AND(G4&lt;100%,G4&gt;95%,AL5=0,AL6=0,AL7=0),"Just missed !",(IF(G4=100%,"Bravo !! ",IF(G4="","","High alert !"))))))</f>
        <v/>
      </c>
      <c r="H6" s="286"/>
      <c r="I6" s="287"/>
      <c r="J6" s="129"/>
      <c r="K6" s="275"/>
      <c r="L6" s="275"/>
      <c r="M6" s="168"/>
      <c r="N6" s="97"/>
      <c r="O6" s="169"/>
      <c r="AI6" s="219" t="s">
        <v>92</v>
      </c>
      <c r="AJ6" s="88" t="s">
        <v>11</v>
      </c>
      <c r="AK6" s="88">
        <f t="shared" ref="AK6:AK27" si="1">AS6</f>
        <v>0</v>
      </c>
      <c r="AL6" s="89">
        <f>COUNTIF('AC Report'!$G$27:$G$1048576,AJ6)</f>
        <v>0</v>
      </c>
      <c r="AM6" s="149">
        <v>5</v>
      </c>
      <c r="AN6" s="132"/>
      <c r="AO6" s="150" t="str">
        <f t="shared" ref="AO6:AO28" si="2">$B$1</f>
        <v xml:space="preserve"> </v>
      </c>
      <c r="AP6" s="151" t="e">
        <f t="shared" ref="AP6:AP24" si="3">AM6*(100/$E$11)</f>
        <v>#DIV/0!</v>
      </c>
      <c r="AQ6" s="132" t="e">
        <f t="shared" ref="AQ6:AQ28" si="4">AP6*AL6</f>
        <v>#DIV/0!</v>
      </c>
      <c r="AR6" s="152" t="e">
        <f t="shared" si="0"/>
        <v>#DIV/0!</v>
      </c>
      <c r="AS6" s="89">
        <f>COUNTIF('AC Report'!$H$27:$H$1048576,AJ6)</f>
        <v>0</v>
      </c>
      <c r="AT6" s="132">
        <f t="shared" ref="AT6:AT28" si="5">AM6*AS6</f>
        <v>0</v>
      </c>
      <c r="AU6" s="132">
        <f t="shared" ref="AU6:AU28" si="6">AL6*AM6</f>
        <v>0</v>
      </c>
      <c r="AV6" s="132"/>
      <c r="AW6" s="132"/>
      <c r="AX6" s="132" t="b">
        <f t="shared" ref="AX6:AX28" si="7">AL6&lt;=AS6</f>
        <v>1</v>
      </c>
      <c r="BA6" s="129" t="s">
        <v>47</v>
      </c>
      <c r="BB6" s="129" t="s">
        <v>42</v>
      </c>
      <c r="BC6" s="129" t="s">
        <v>56</v>
      </c>
    </row>
    <row r="7" spans="1:55" ht="15.75" customHeight="1" x14ac:dyDescent="0.25">
      <c r="A7" s="236">
        <f t="shared" ref="A7:A29" si="8">AL6</f>
        <v>0</v>
      </c>
      <c r="B7" s="148" t="s">
        <v>90</v>
      </c>
      <c r="C7" s="165"/>
      <c r="D7" s="97" t="s">
        <v>100</v>
      </c>
      <c r="E7" s="233"/>
      <c r="F7" s="166"/>
      <c r="G7" s="288"/>
      <c r="H7" s="288"/>
      <c r="I7" s="288"/>
      <c r="J7" s="129"/>
      <c r="K7" s="240"/>
      <c r="L7" s="240"/>
      <c r="M7" s="168"/>
      <c r="N7" s="97"/>
      <c r="O7" s="169"/>
      <c r="AI7" s="219" t="s">
        <v>92</v>
      </c>
      <c r="AJ7" s="88" t="s">
        <v>13</v>
      </c>
      <c r="AK7" s="88">
        <f t="shared" si="1"/>
        <v>0</v>
      </c>
      <c r="AL7" s="89">
        <f>COUNTIF('AC Report'!$G$27:$G$1048576,AJ7)</f>
        <v>0</v>
      </c>
      <c r="AM7" s="149">
        <v>3</v>
      </c>
      <c r="AN7" s="132"/>
      <c r="AO7" s="150" t="str">
        <f t="shared" si="2"/>
        <v xml:space="preserve"> </v>
      </c>
      <c r="AP7" s="151" t="e">
        <f t="shared" si="3"/>
        <v>#DIV/0!</v>
      </c>
      <c r="AQ7" s="132" t="e">
        <f t="shared" si="4"/>
        <v>#DIV/0!</v>
      </c>
      <c r="AR7" s="152" t="e">
        <f t="shared" si="0"/>
        <v>#DIV/0!</v>
      </c>
      <c r="AS7" s="89">
        <f>COUNTIF('AC Report'!$H$27:$H$1048576,AJ7)</f>
        <v>0</v>
      </c>
      <c r="AT7" s="132">
        <f t="shared" si="5"/>
        <v>0</v>
      </c>
      <c r="AU7" s="132">
        <f t="shared" si="6"/>
        <v>0</v>
      </c>
      <c r="AV7" s="132"/>
      <c r="AW7" s="132"/>
      <c r="AX7" s="132" t="b">
        <f t="shared" si="7"/>
        <v>1</v>
      </c>
      <c r="BA7" s="129" t="s">
        <v>48</v>
      </c>
      <c r="BB7" s="129" t="s">
        <v>43</v>
      </c>
      <c r="BC7" s="129" t="s">
        <v>59</v>
      </c>
    </row>
    <row r="8" spans="1:55" ht="15" customHeight="1" x14ac:dyDescent="0.25">
      <c r="A8" s="236">
        <f t="shared" si="8"/>
        <v>0</v>
      </c>
      <c r="B8" s="148" t="s">
        <v>90</v>
      </c>
      <c r="C8" s="165"/>
      <c r="D8" s="97"/>
      <c r="E8" s="159"/>
      <c r="F8" s="166"/>
      <c r="G8" s="297" t="str">
        <f>IFERROR(BB14,"")</f>
        <v>★★★★★</v>
      </c>
      <c r="H8" s="298"/>
      <c r="I8" s="299"/>
      <c r="J8" s="129"/>
      <c r="K8" s="279"/>
      <c r="L8" s="279"/>
      <c r="M8" s="168"/>
      <c r="N8" s="97"/>
      <c r="O8" s="169"/>
      <c r="AI8" s="219" t="s">
        <v>92</v>
      </c>
      <c r="AJ8" s="88" t="s">
        <v>15</v>
      </c>
      <c r="AK8" s="88">
        <f t="shared" si="1"/>
        <v>0</v>
      </c>
      <c r="AL8" s="89">
        <f>COUNTIF('AC Report'!$G$27:$G$1048576,AJ8)</f>
        <v>0</v>
      </c>
      <c r="AM8" s="149">
        <v>1</v>
      </c>
      <c r="AN8" s="132"/>
      <c r="AO8" s="150" t="str">
        <f t="shared" si="2"/>
        <v xml:space="preserve"> </v>
      </c>
      <c r="AP8" s="151" t="e">
        <f t="shared" si="3"/>
        <v>#DIV/0!</v>
      </c>
      <c r="AQ8" s="132" t="e">
        <f t="shared" si="4"/>
        <v>#DIV/0!</v>
      </c>
      <c r="AR8" s="152" t="e">
        <f t="shared" si="0"/>
        <v>#DIV/0!</v>
      </c>
      <c r="AS8" s="89">
        <f>COUNTIF('AC Report'!$H$27:$H$1048576,AJ8)</f>
        <v>0</v>
      </c>
      <c r="AT8" s="132">
        <f t="shared" si="5"/>
        <v>0</v>
      </c>
      <c r="AU8" s="132">
        <f t="shared" si="6"/>
        <v>0</v>
      </c>
      <c r="AV8" s="132"/>
      <c r="AW8" s="132"/>
      <c r="AX8" s="132" t="b">
        <f t="shared" si="7"/>
        <v>1</v>
      </c>
      <c r="BA8" s="129" t="s">
        <v>49</v>
      </c>
      <c r="BB8" s="129" t="s">
        <v>44</v>
      </c>
      <c r="BC8" s="129" t="s">
        <v>60</v>
      </c>
    </row>
    <row r="9" spans="1:55" ht="15" customHeight="1" x14ac:dyDescent="0.25">
      <c r="A9" s="236">
        <f t="shared" si="8"/>
        <v>0</v>
      </c>
      <c r="B9" s="148" t="s">
        <v>90</v>
      </c>
      <c r="C9" s="165"/>
      <c r="D9" s="97"/>
      <c r="E9" s="167"/>
      <c r="F9" s="166"/>
      <c r="G9" s="300"/>
      <c r="H9" s="301"/>
      <c r="I9" s="302"/>
      <c r="J9" s="129"/>
      <c r="K9" s="279"/>
      <c r="L9" s="279"/>
      <c r="M9" s="168"/>
      <c r="N9" s="97"/>
      <c r="O9" s="169"/>
      <c r="AI9" s="219" t="s">
        <v>92</v>
      </c>
      <c r="AJ9" s="88" t="s">
        <v>16</v>
      </c>
      <c r="AK9" s="88">
        <f t="shared" si="1"/>
        <v>0</v>
      </c>
      <c r="AL9" s="89">
        <f>COUNTIF('AC Report'!$G$27:$G$1048576,AJ9)</f>
        <v>0</v>
      </c>
      <c r="AM9" s="149">
        <v>2</v>
      </c>
      <c r="AN9" s="132"/>
      <c r="AO9" s="150" t="str">
        <f t="shared" si="2"/>
        <v xml:space="preserve"> </v>
      </c>
      <c r="AP9" s="151" t="e">
        <f t="shared" si="3"/>
        <v>#DIV/0!</v>
      </c>
      <c r="AQ9" s="132" t="e">
        <f t="shared" si="4"/>
        <v>#DIV/0!</v>
      </c>
      <c r="AR9" s="152" t="e">
        <f t="shared" si="0"/>
        <v>#DIV/0!</v>
      </c>
      <c r="AS9" s="89">
        <f>COUNTIF('AC Report'!$H$27:$H$1048576,AJ9)</f>
        <v>0</v>
      </c>
      <c r="AT9" s="132">
        <f t="shared" si="5"/>
        <v>0</v>
      </c>
      <c r="AU9" s="132">
        <f t="shared" si="6"/>
        <v>0</v>
      </c>
      <c r="AV9" s="132"/>
      <c r="AW9" s="132"/>
      <c r="AX9" s="132" t="b">
        <f t="shared" si="7"/>
        <v>1</v>
      </c>
      <c r="BA9" s="129" t="s">
        <v>50</v>
      </c>
      <c r="BB9" s="129" t="s">
        <v>55</v>
      </c>
      <c r="BC9" s="129" t="s">
        <v>54</v>
      </c>
    </row>
    <row r="10" spans="1:55" ht="15.75" customHeight="1" x14ac:dyDescent="0.25">
      <c r="A10" s="236">
        <f t="shared" si="8"/>
        <v>0</v>
      </c>
      <c r="B10" s="148" t="s">
        <v>90</v>
      </c>
      <c r="C10" s="165"/>
      <c r="D10" s="97"/>
      <c r="E10" s="167"/>
      <c r="F10" s="166"/>
      <c r="G10" s="289"/>
      <c r="H10" s="289"/>
      <c r="I10" s="289"/>
      <c r="J10" s="129"/>
      <c r="M10" s="168"/>
      <c r="N10" s="97"/>
      <c r="O10" s="169"/>
      <c r="AI10" s="219" t="s">
        <v>94</v>
      </c>
      <c r="AJ10" s="88" t="s">
        <v>17</v>
      </c>
      <c r="AK10" s="88">
        <f t="shared" si="1"/>
        <v>0</v>
      </c>
      <c r="AL10" s="89">
        <f>COUNTIF('AC Report'!$G$27:$G$1048576,AJ10)</f>
        <v>0</v>
      </c>
      <c r="AM10" s="149">
        <v>1</v>
      </c>
      <c r="AN10" s="132"/>
      <c r="AO10" s="150" t="str">
        <f t="shared" si="2"/>
        <v xml:space="preserve"> </v>
      </c>
      <c r="AP10" s="151" t="e">
        <f t="shared" si="3"/>
        <v>#DIV/0!</v>
      </c>
      <c r="AQ10" s="132" t="e">
        <f t="shared" si="4"/>
        <v>#DIV/0!</v>
      </c>
      <c r="AR10" s="152" t="e">
        <f t="shared" si="0"/>
        <v>#DIV/0!</v>
      </c>
      <c r="AS10" s="89">
        <f>COUNTIF('AC Report'!$H$27:$H$1048576,AJ10)</f>
        <v>0</v>
      </c>
      <c r="AT10" s="132">
        <f t="shared" si="5"/>
        <v>0</v>
      </c>
      <c r="AU10" s="132">
        <f t="shared" si="6"/>
        <v>0</v>
      </c>
      <c r="AV10" s="132"/>
      <c r="AW10" s="132"/>
      <c r="AX10" s="132" t="b">
        <f t="shared" si="7"/>
        <v>1</v>
      </c>
    </row>
    <row r="11" spans="1:55" ht="18.95" customHeight="1" x14ac:dyDescent="0.25">
      <c r="A11" s="236">
        <f t="shared" si="8"/>
        <v>0</v>
      </c>
      <c r="B11" s="148" t="s">
        <v>90</v>
      </c>
      <c r="C11" s="165"/>
      <c r="D11" s="170" t="s">
        <v>79</v>
      </c>
      <c r="E11" s="192"/>
      <c r="F11" s="168"/>
      <c r="G11" s="290" t="s">
        <v>62</v>
      </c>
      <c r="H11" s="290"/>
      <c r="I11" s="290"/>
      <c r="J11" s="129"/>
      <c r="K11" s="193" t="s">
        <v>76</v>
      </c>
      <c r="L11" s="197"/>
      <c r="M11" s="168"/>
      <c r="N11" s="97"/>
      <c r="O11" s="169"/>
      <c r="AI11" s="219" t="s">
        <v>94</v>
      </c>
      <c r="AJ11" s="88" t="s">
        <v>18</v>
      </c>
      <c r="AK11" s="88">
        <f t="shared" si="1"/>
        <v>0</v>
      </c>
      <c r="AL11" s="89">
        <f>COUNTIF('AC Report'!$G$27:$G$1048576,AJ11)</f>
        <v>0</v>
      </c>
      <c r="AM11" s="149">
        <v>0.5</v>
      </c>
      <c r="AN11" s="132"/>
      <c r="AO11" s="150" t="str">
        <f t="shared" si="2"/>
        <v xml:space="preserve"> </v>
      </c>
      <c r="AP11" s="151" t="e">
        <f t="shared" si="3"/>
        <v>#DIV/0!</v>
      </c>
      <c r="AQ11" s="132" t="e">
        <f t="shared" si="4"/>
        <v>#DIV/0!</v>
      </c>
      <c r="AR11" s="152" t="e">
        <f t="shared" si="0"/>
        <v>#DIV/0!</v>
      </c>
      <c r="AS11" s="89">
        <f>COUNTIF('AC Report'!$H$27:$H$1048576,AJ11)</f>
        <v>0</v>
      </c>
      <c r="AT11" s="132">
        <f t="shared" si="5"/>
        <v>0</v>
      </c>
      <c r="AU11" s="132">
        <f t="shared" si="6"/>
        <v>0</v>
      </c>
      <c r="AV11" s="132"/>
      <c r="AW11" s="132"/>
      <c r="AX11" s="132" t="b">
        <f t="shared" si="7"/>
        <v>1</v>
      </c>
      <c r="BB11" s="129" t="s">
        <v>45</v>
      </c>
      <c r="BC11" s="153" t="s">
        <v>46</v>
      </c>
    </row>
    <row r="12" spans="1:55" ht="18.75" x14ac:dyDescent="0.25">
      <c r="A12" s="236">
        <f t="shared" si="8"/>
        <v>0</v>
      </c>
      <c r="B12" s="148" t="s">
        <v>90</v>
      </c>
      <c r="C12" s="171"/>
      <c r="D12" s="170" t="s">
        <v>66</v>
      </c>
      <c r="E12" s="224">
        <f>SUM($AK$5:$AK$28)</f>
        <v>0</v>
      </c>
      <c r="G12" s="303" t="str">
        <f>IF(AN5&lt;=0,"★","")</f>
        <v>★</v>
      </c>
      <c r="H12" s="282" t="str">
        <f>IF(AN5&lt;=0,"Accomplished","See below")</f>
        <v>Accomplished</v>
      </c>
      <c r="I12" s="305" t="str">
        <f>IF(AN5&lt;=0,"★","")</f>
        <v>★</v>
      </c>
      <c r="J12" s="129"/>
      <c r="K12" s="195" t="s">
        <v>77</v>
      </c>
      <c r="L12" s="198"/>
      <c r="M12" s="129"/>
      <c r="N12" s="97"/>
      <c r="O12" s="99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122"/>
      <c r="AI12" s="220" t="s">
        <v>94</v>
      </c>
      <c r="AJ12" s="88" t="s">
        <v>22</v>
      </c>
      <c r="AK12" s="88">
        <f t="shared" si="1"/>
        <v>0</v>
      </c>
      <c r="AL12" s="89">
        <f>COUNTIF('AC Report'!$G$27:$G$1048576,AJ12)</f>
        <v>0</v>
      </c>
      <c r="AM12" s="149">
        <v>0.25</v>
      </c>
      <c r="AN12" s="132"/>
      <c r="AO12" s="150" t="str">
        <f t="shared" si="2"/>
        <v xml:space="preserve"> </v>
      </c>
      <c r="AP12" s="151" t="e">
        <f t="shared" si="3"/>
        <v>#DIV/0!</v>
      </c>
      <c r="AQ12" s="132" t="e">
        <f t="shared" si="4"/>
        <v>#DIV/0!</v>
      </c>
      <c r="AR12" s="152" t="e">
        <f t="shared" si="0"/>
        <v>#DIV/0!</v>
      </c>
      <c r="AS12" s="89">
        <f>COUNTIF('AC Report'!$H$27:$H$1048576,AJ12)</f>
        <v>0</v>
      </c>
      <c r="AT12" s="132">
        <f t="shared" si="5"/>
        <v>0</v>
      </c>
      <c r="AU12" s="132">
        <f t="shared" si="6"/>
        <v>0</v>
      </c>
      <c r="AV12" s="132"/>
      <c r="AW12" s="132"/>
      <c r="AX12" s="132" t="b">
        <f t="shared" si="7"/>
        <v>1</v>
      </c>
      <c r="BB12" s="129" t="s">
        <v>53</v>
      </c>
    </row>
    <row r="13" spans="1:55" ht="29.1" customHeight="1" x14ac:dyDescent="0.25">
      <c r="A13" s="236">
        <f t="shared" si="8"/>
        <v>0</v>
      </c>
      <c r="B13" s="148" t="s">
        <v>90</v>
      </c>
      <c r="C13" s="171"/>
      <c r="D13" s="170" t="s">
        <v>75</v>
      </c>
      <c r="E13" s="224">
        <f>SUM('AC Report'!$D$27:$D$328)</f>
        <v>0</v>
      </c>
      <c r="G13" s="304"/>
      <c r="H13" s="283"/>
      <c r="I13" s="306"/>
      <c r="J13" s="129"/>
      <c r="K13" s="194" t="s">
        <v>101</v>
      </c>
      <c r="L13" s="226" t="str">
        <f>IFERROR(IF(1-((L12-L11)/L11)&gt;0,1-((L12-L11)/L11),0),"")</f>
        <v/>
      </c>
      <c r="M13" s="129"/>
      <c r="N13" s="97"/>
      <c r="O13" s="100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218" t="s">
        <v>92</v>
      </c>
      <c r="AJ13" s="88" t="s">
        <v>24</v>
      </c>
      <c r="AK13" s="88">
        <f t="shared" si="1"/>
        <v>0</v>
      </c>
      <c r="AL13" s="89">
        <f>COUNTIF('AC Report'!$G$27:$G$1048576,AJ13)</f>
        <v>0</v>
      </c>
      <c r="AM13" s="149">
        <v>1</v>
      </c>
      <c r="AN13" s="132"/>
      <c r="AO13" s="150" t="str">
        <f t="shared" si="2"/>
        <v xml:space="preserve"> </v>
      </c>
      <c r="AP13" s="151" t="e">
        <f t="shared" si="3"/>
        <v>#DIV/0!</v>
      </c>
      <c r="AQ13" s="132" t="e">
        <f t="shared" si="4"/>
        <v>#DIV/0!</v>
      </c>
      <c r="AR13" s="152" t="e">
        <f t="shared" si="0"/>
        <v>#DIV/0!</v>
      </c>
      <c r="AS13" s="89">
        <f>COUNTIF('AC Report'!$H$27:$H$1048576,AJ13)</f>
        <v>0</v>
      </c>
      <c r="AT13" s="132">
        <f t="shared" si="5"/>
        <v>0</v>
      </c>
      <c r="AU13" s="132">
        <f t="shared" si="6"/>
        <v>0</v>
      </c>
      <c r="AV13" s="132"/>
      <c r="AW13" s="132"/>
      <c r="AX13" s="132" t="b">
        <f t="shared" si="7"/>
        <v>1</v>
      </c>
    </row>
    <row r="14" spans="1:55" x14ac:dyDescent="0.25">
      <c r="A14" s="236">
        <f t="shared" si="8"/>
        <v>0</v>
      </c>
      <c r="B14" s="148" t="s">
        <v>90</v>
      </c>
      <c r="C14" s="171"/>
      <c r="H14" s="172"/>
      <c r="I14" s="172"/>
      <c r="J14" s="129"/>
      <c r="K14" s="129"/>
      <c r="L14" s="129"/>
      <c r="M14" s="129"/>
      <c r="N14" s="92"/>
      <c r="O14" s="101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219" t="s">
        <v>92</v>
      </c>
      <c r="AJ14" s="88" t="s">
        <v>26</v>
      </c>
      <c r="AK14" s="88">
        <f t="shared" si="1"/>
        <v>0</v>
      </c>
      <c r="AL14" s="89">
        <f>COUNTIF('AC Report'!$G$27:$G$1048576,AJ14)</f>
        <v>0</v>
      </c>
      <c r="AM14" s="149">
        <v>1</v>
      </c>
      <c r="AN14" s="132"/>
      <c r="AO14" s="150" t="str">
        <f t="shared" si="2"/>
        <v xml:space="preserve"> </v>
      </c>
      <c r="AP14" s="151" t="e">
        <f t="shared" si="3"/>
        <v>#DIV/0!</v>
      </c>
      <c r="AQ14" s="132" t="e">
        <f t="shared" si="4"/>
        <v>#DIV/0!</v>
      </c>
      <c r="AR14" s="152" t="e">
        <f t="shared" si="0"/>
        <v>#DIV/0!</v>
      </c>
      <c r="AS14" s="89">
        <f>COUNTIF('AC Report'!$H$27:$H$1048576,AJ14)</f>
        <v>0</v>
      </c>
      <c r="AT14" s="132">
        <f t="shared" si="5"/>
        <v>0</v>
      </c>
      <c r="AU14" s="132">
        <f t="shared" si="6"/>
        <v>0</v>
      </c>
      <c r="AV14" s="132"/>
      <c r="AW14" s="132"/>
      <c r="AX14" s="132" t="b">
        <f t="shared" si="7"/>
        <v>1</v>
      </c>
      <c r="BB14" s="129" t="str">
        <f>IF(AS29=1,BB11,IF(AND(AS29&gt;0.95,AS29&lt;1),BB9,IF(AND(AS29&gt;=0.85,AS29&lt;=95),BB8,IF(AND(AS29&gt;=0.7,AS29&lt;0.85),BB7,IF(AND(AS29&gt;=0.5,AS29&lt;0.7),BB6,IF(AND(AS29&gt;=0.35,AS29&lt;50),BB5,"☠"))))))</f>
        <v>★★★★★</v>
      </c>
    </row>
    <row r="15" spans="1:55" x14ac:dyDescent="0.25">
      <c r="A15" s="236">
        <f t="shared" si="8"/>
        <v>0</v>
      </c>
      <c r="B15" s="148" t="s">
        <v>90</v>
      </c>
      <c r="C15" s="171"/>
      <c r="D15" s="173"/>
      <c r="E15" s="277"/>
      <c r="F15" s="278"/>
      <c r="G15" s="172"/>
      <c r="H15" s="172"/>
      <c r="I15" s="172"/>
      <c r="J15" s="129"/>
      <c r="K15" s="129"/>
      <c r="L15" s="92"/>
      <c r="M15" s="92"/>
      <c r="N15" s="92"/>
      <c r="O15" s="101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219" t="s">
        <v>93</v>
      </c>
      <c r="AJ15" s="88" t="s">
        <v>28</v>
      </c>
      <c r="AK15" s="88">
        <f t="shared" si="1"/>
        <v>0</v>
      </c>
      <c r="AL15" s="89">
        <f>COUNTIF('AC Report'!$G$27:$G$1048576,AJ15)</f>
        <v>0</v>
      </c>
      <c r="AM15" s="149">
        <v>0.25</v>
      </c>
      <c r="AN15" s="132"/>
      <c r="AO15" s="150" t="str">
        <f t="shared" si="2"/>
        <v xml:space="preserve"> </v>
      </c>
      <c r="AP15" s="151" t="e">
        <f t="shared" si="3"/>
        <v>#DIV/0!</v>
      </c>
      <c r="AQ15" s="132" t="e">
        <f t="shared" si="4"/>
        <v>#DIV/0!</v>
      </c>
      <c r="AR15" s="152" t="e">
        <f>(AL15/AK15)</f>
        <v>#DIV/0!</v>
      </c>
      <c r="AS15" s="89">
        <f>COUNTIF('AC Report'!$H$27:$H$1048576,AJ15)</f>
        <v>0</v>
      </c>
      <c r="AT15" s="132">
        <f t="shared" si="5"/>
        <v>0</v>
      </c>
      <c r="AU15" s="132">
        <f t="shared" si="6"/>
        <v>0</v>
      </c>
      <c r="AV15" s="132"/>
      <c r="AW15" s="132"/>
      <c r="AX15" s="132" t="b">
        <f t="shared" si="7"/>
        <v>1</v>
      </c>
    </row>
    <row r="16" spans="1:55" x14ac:dyDescent="0.25">
      <c r="A16" s="236">
        <f t="shared" si="8"/>
        <v>0</v>
      </c>
      <c r="B16" s="148" t="s">
        <v>90</v>
      </c>
      <c r="C16" s="171"/>
      <c r="D16" s="173"/>
      <c r="O16" s="102"/>
      <c r="AI16" s="219" t="s">
        <v>93</v>
      </c>
      <c r="AJ16" s="88" t="s">
        <v>29</v>
      </c>
      <c r="AK16" s="88">
        <f t="shared" si="1"/>
        <v>0</v>
      </c>
      <c r="AL16" s="89">
        <f>COUNTIF('AC Report'!$G$27:$G$1048576,AJ16)</f>
        <v>0</v>
      </c>
      <c r="AM16" s="149">
        <v>0.05</v>
      </c>
      <c r="AN16" s="132"/>
      <c r="AO16" s="150" t="str">
        <f t="shared" si="2"/>
        <v xml:space="preserve"> </v>
      </c>
      <c r="AP16" s="151" t="e">
        <f t="shared" si="3"/>
        <v>#DIV/0!</v>
      </c>
      <c r="AQ16" s="132" t="e">
        <f t="shared" si="4"/>
        <v>#DIV/0!</v>
      </c>
      <c r="AR16" s="152" t="e">
        <f t="shared" ref="AR16:AR28" si="9">(AL16/AK16)</f>
        <v>#DIV/0!</v>
      </c>
      <c r="AS16" s="89">
        <f>COUNTIF('AC Report'!$H$27:$H$1048576,AJ16)</f>
        <v>0</v>
      </c>
      <c r="AT16" s="132">
        <f>AM16*AS16</f>
        <v>0</v>
      </c>
      <c r="AU16" s="132">
        <f t="shared" si="6"/>
        <v>0</v>
      </c>
      <c r="AV16" s="132"/>
      <c r="AW16" s="132"/>
      <c r="AX16" s="132" t="b">
        <f t="shared" si="7"/>
        <v>1</v>
      </c>
      <c r="BB16" s="129" t="e">
        <f>IF(AW36=1,BB11,IF(AND(AW36&gt;0.95,AW36&lt;1),BB9,IF(AND(AW36&gt;=0.85,AW36&lt;=95),BB8,IF(AND(AW36&gt;=0.7,AW36&lt;0.85),BB7,IF(AND(AW36&gt;=0.5,AW36&lt;0.7),BB6,IF(AND(AW36&gt;=0.35,AW36&lt;50),BB5,"☠"))))))</f>
        <v>#DIV/0!</v>
      </c>
    </row>
    <row r="17" spans="1:54" x14ac:dyDescent="0.25">
      <c r="A17" s="236">
        <f t="shared" si="8"/>
        <v>0</v>
      </c>
      <c r="B17" s="148" t="s">
        <v>90</v>
      </c>
      <c r="C17" s="171"/>
      <c r="D17" s="173"/>
      <c r="E17" s="174"/>
      <c r="J17" s="129"/>
      <c r="K17" s="175"/>
      <c r="L17" s="175"/>
      <c r="M17" s="175"/>
      <c r="N17" s="175"/>
      <c r="O17" s="176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221" t="s">
        <v>92</v>
      </c>
      <c r="AJ17" s="88" t="s">
        <v>83</v>
      </c>
      <c r="AK17" s="88">
        <f t="shared" si="1"/>
        <v>0</v>
      </c>
      <c r="AL17" s="89">
        <f>COUNTIF('AC Report'!$G$27:$G$1048576,AJ17)</f>
        <v>0</v>
      </c>
      <c r="AM17" s="149">
        <v>0.5</v>
      </c>
      <c r="AN17" s="132"/>
      <c r="AO17" s="150" t="str">
        <f t="shared" si="2"/>
        <v xml:space="preserve"> </v>
      </c>
      <c r="AP17" s="151" t="e">
        <f t="shared" si="3"/>
        <v>#DIV/0!</v>
      </c>
      <c r="AQ17" s="132" t="e">
        <f t="shared" si="4"/>
        <v>#DIV/0!</v>
      </c>
      <c r="AR17" s="152" t="e">
        <f t="shared" si="9"/>
        <v>#DIV/0!</v>
      </c>
      <c r="AS17" s="89">
        <f>COUNTIF('AC Report'!$H$27:$H$1048576,AJ17)</f>
        <v>0</v>
      </c>
      <c r="AT17" s="132">
        <f t="shared" si="5"/>
        <v>0</v>
      </c>
      <c r="AU17" s="132">
        <f t="shared" si="6"/>
        <v>0</v>
      </c>
      <c r="AV17" s="132"/>
      <c r="AW17" s="132"/>
      <c r="AX17" s="132" t="b">
        <f t="shared" si="7"/>
        <v>1</v>
      </c>
    </row>
    <row r="18" spans="1:54" x14ac:dyDescent="0.25">
      <c r="A18" s="236">
        <f t="shared" si="8"/>
        <v>0</v>
      </c>
      <c r="B18" s="148" t="s">
        <v>90</v>
      </c>
      <c r="C18" s="171"/>
      <c r="D18" s="173"/>
      <c r="E18" s="174"/>
      <c r="J18" s="129"/>
      <c r="K18" s="175"/>
      <c r="L18" s="175"/>
      <c r="M18" s="175"/>
      <c r="N18" s="175"/>
      <c r="O18" s="176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221" t="s">
        <v>92</v>
      </c>
      <c r="AJ18" s="88" t="s">
        <v>84</v>
      </c>
      <c r="AK18" s="88">
        <f t="shared" ref="AK18:AK21" si="10">AS18</f>
        <v>0</v>
      </c>
      <c r="AL18" s="89">
        <f>COUNTIF('AC Report'!$G$27:$G$1048576,AJ18)</f>
        <v>0</v>
      </c>
      <c r="AM18" s="149">
        <v>0.5</v>
      </c>
      <c r="AN18" s="132"/>
      <c r="AO18" s="150" t="str">
        <f t="shared" si="2"/>
        <v xml:space="preserve"> </v>
      </c>
      <c r="AP18" s="151" t="e">
        <f t="shared" ref="AP18:AP21" si="11">AM18*(100/$E$11)</f>
        <v>#DIV/0!</v>
      </c>
      <c r="AQ18" s="132" t="e">
        <f t="shared" ref="AQ18:AQ21" si="12">AP18*AL18</f>
        <v>#DIV/0!</v>
      </c>
      <c r="AR18" s="152" t="e">
        <f t="shared" ref="AR18:AR21" si="13">(AL18/AK18)</f>
        <v>#DIV/0!</v>
      </c>
      <c r="AS18" s="89">
        <f>COUNTIF('AC Report'!$H$27:$H$1048576,AJ18)</f>
        <v>0</v>
      </c>
      <c r="AT18" s="132">
        <f t="shared" ref="AT18:AT21" si="14">AM18*AS18</f>
        <v>0</v>
      </c>
      <c r="AU18" s="132">
        <f t="shared" ref="AU18:AU21" si="15">AL18*AM18</f>
        <v>0</v>
      </c>
      <c r="AV18" s="132"/>
      <c r="AW18" s="132"/>
      <c r="AX18" s="132" t="b">
        <f t="shared" ref="AX18:AX21" si="16">AL18&lt;=AS18</f>
        <v>1</v>
      </c>
    </row>
    <row r="19" spans="1:54" x14ac:dyDescent="0.25">
      <c r="A19" s="236">
        <f t="shared" si="8"/>
        <v>0</v>
      </c>
      <c r="B19" s="148" t="s">
        <v>90</v>
      </c>
      <c r="C19" s="171"/>
      <c r="D19" s="173"/>
      <c r="E19" s="174"/>
      <c r="J19" s="129"/>
      <c r="K19" s="175"/>
      <c r="L19" s="175"/>
      <c r="M19" s="175"/>
      <c r="N19" s="175"/>
      <c r="O19" s="176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221" t="s">
        <v>92</v>
      </c>
      <c r="AJ19" s="88" t="s">
        <v>85</v>
      </c>
      <c r="AK19" s="88">
        <f t="shared" si="10"/>
        <v>0</v>
      </c>
      <c r="AL19" s="89">
        <f>COUNTIF('AC Report'!$G$27:$G$1048576,AJ19)</f>
        <v>0</v>
      </c>
      <c r="AM19" s="149">
        <v>0.5</v>
      </c>
      <c r="AN19" s="132"/>
      <c r="AO19" s="150" t="str">
        <f t="shared" si="2"/>
        <v xml:space="preserve"> </v>
      </c>
      <c r="AP19" s="151" t="e">
        <f t="shared" si="11"/>
        <v>#DIV/0!</v>
      </c>
      <c r="AQ19" s="132" t="e">
        <f t="shared" si="12"/>
        <v>#DIV/0!</v>
      </c>
      <c r="AR19" s="152" t="e">
        <f t="shared" si="13"/>
        <v>#DIV/0!</v>
      </c>
      <c r="AS19" s="89">
        <f>COUNTIF('AC Report'!$H$27:$H$1048576,AJ19)</f>
        <v>0</v>
      </c>
      <c r="AT19" s="132">
        <f t="shared" si="14"/>
        <v>0</v>
      </c>
      <c r="AU19" s="132">
        <f t="shared" si="15"/>
        <v>0</v>
      </c>
      <c r="AV19" s="132"/>
      <c r="AW19" s="132"/>
      <c r="AX19" s="132" t="b">
        <f t="shared" si="16"/>
        <v>1</v>
      </c>
    </row>
    <row r="20" spans="1:54" x14ac:dyDescent="0.25">
      <c r="A20" s="236">
        <f t="shared" si="8"/>
        <v>0</v>
      </c>
      <c r="B20" s="148" t="s">
        <v>90</v>
      </c>
      <c r="C20" s="171"/>
      <c r="D20" s="173"/>
      <c r="E20" s="174"/>
      <c r="J20" s="129"/>
      <c r="K20" s="175"/>
      <c r="L20" s="175"/>
      <c r="M20" s="175"/>
      <c r="N20" s="175"/>
      <c r="O20" s="176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221" t="s">
        <v>92</v>
      </c>
      <c r="AJ20" s="88" t="s">
        <v>86</v>
      </c>
      <c r="AK20" s="88">
        <f t="shared" si="10"/>
        <v>0</v>
      </c>
      <c r="AL20" s="89">
        <f>COUNTIF('AC Report'!$G$27:$G$1048576,AJ20)</f>
        <v>0</v>
      </c>
      <c r="AM20" s="149">
        <v>0.5</v>
      </c>
      <c r="AN20" s="132"/>
      <c r="AO20" s="150" t="str">
        <f t="shared" si="2"/>
        <v xml:space="preserve"> </v>
      </c>
      <c r="AP20" s="151" t="e">
        <f t="shared" si="11"/>
        <v>#DIV/0!</v>
      </c>
      <c r="AQ20" s="132" t="e">
        <f t="shared" si="12"/>
        <v>#DIV/0!</v>
      </c>
      <c r="AR20" s="152" t="e">
        <f t="shared" si="13"/>
        <v>#DIV/0!</v>
      </c>
      <c r="AS20" s="89">
        <f>COUNTIF('AC Report'!$H$27:$H$1048576,AJ20)</f>
        <v>0</v>
      </c>
      <c r="AT20" s="132">
        <f t="shared" si="14"/>
        <v>0</v>
      </c>
      <c r="AU20" s="132">
        <f t="shared" si="15"/>
        <v>0</v>
      </c>
      <c r="AV20" s="132"/>
      <c r="AW20" s="132"/>
      <c r="AX20" s="132" t="b">
        <f t="shared" si="16"/>
        <v>1</v>
      </c>
    </row>
    <row r="21" spans="1:54" x14ac:dyDescent="0.25">
      <c r="A21" s="236">
        <f t="shared" si="8"/>
        <v>0</v>
      </c>
      <c r="B21" s="148" t="s">
        <v>90</v>
      </c>
      <c r="C21" s="171"/>
      <c r="D21" s="173"/>
      <c r="E21" s="174"/>
      <c r="J21" s="129"/>
      <c r="K21" s="175"/>
      <c r="L21" s="175"/>
      <c r="M21" s="175"/>
      <c r="N21" s="175"/>
      <c r="O21" s="176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221" t="s">
        <v>92</v>
      </c>
      <c r="AJ21" s="88" t="s">
        <v>87</v>
      </c>
      <c r="AK21" s="88">
        <f t="shared" si="10"/>
        <v>0</v>
      </c>
      <c r="AL21" s="89">
        <f>COUNTIF('AC Report'!$G$27:$G$1048576,AJ21)</f>
        <v>0</v>
      </c>
      <c r="AM21" s="149">
        <v>0.5</v>
      </c>
      <c r="AN21" s="132"/>
      <c r="AO21" s="150" t="str">
        <f t="shared" si="2"/>
        <v xml:space="preserve"> </v>
      </c>
      <c r="AP21" s="151" t="e">
        <f t="shared" si="11"/>
        <v>#DIV/0!</v>
      </c>
      <c r="AQ21" s="132" t="e">
        <f t="shared" si="12"/>
        <v>#DIV/0!</v>
      </c>
      <c r="AR21" s="152" t="e">
        <f t="shared" si="13"/>
        <v>#DIV/0!</v>
      </c>
      <c r="AS21" s="89">
        <f>COUNTIF('AC Report'!$H$27:$H$1048576,AJ21)</f>
        <v>0</v>
      </c>
      <c r="AT21" s="132">
        <f t="shared" si="14"/>
        <v>0</v>
      </c>
      <c r="AU21" s="132">
        <f t="shared" si="15"/>
        <v>0</v>
      </c>
      <c r="AV21" s="132"/>
      <c r="AW21" s="132"/>
      <c r="AX21" s="132" t="b">
        <f t="shared" si="16"/>
        <v>1</v>
      </c>
    </row>
    <row r="22" spans="1:54" x14ac:dyDescent="0.25">
      <c r="A22" s="236">
        <f t="shared" si="8"/>
        <v>0</v>
      </c>
      <c r="B22" s="148" t="s">
        <v>90</v>
      </c>
      <c r="C22" s="171"/>
      <c r="D22" s="177"/>
      <c r="E22" s="140"/>
      <c r="O22" s="102"/>
      <c r="AI22" s="219" t="s">
        <v>93</v>
      </c>
      <c r="AJ22" s="88" t="s">
        <v>31</v>
      </c>
      <c r="AK22" s="88">
        <f t="shared" si="1"/>
        <v>0</v>
      </c>
      <c r="AL22" s="89">
        <f>COUNTIF('AC Report'!$G$27:$G$1048576,AJ22)</f>
        <v>0</v>
      </c>
      <c r="AM22" s="149">
        <v>0.05</v>
      </c>
      <c r="AN22" s="132"/>
      <c r="AO22" s="150" t="str">
        <f t="shared" si="2"/>
        <v xml:space="preserve"> </v>
      </c>
      <c r="AP22" s="151" t="e">
        <f t="shared" si="3"/>
        <v>#DIV/0!</v>
      </c>
      <c r="AQ22" s="132" t="e">
        <f t="shared" si="4"/>
        <v>#DIV/0!</v>
      </c>
      <c r="AR22" s="152" t="e">
        <f t="shared" si="9"/>
        <v>#DIV/0!</v>
      </c>
      <c r="AS22" s="89">
        <f>COUNTIF('AC Report'!$H$27:$H$1048576,AJ22)</f>
        <v>0</v>
      </c>
      <c r="AT22" s="132">
        <f t="shared" si="5"/>
        <v>0</v>
      </c>
      <c r="AU22" s="132">
        <f t="shared" si="6"/>
        <v>0</v>
      </c>
      <c r="AV22" s="132"/>
      <c r="AW22" s="132"/>
      <c r="AX22" s="132" t="b">
        <f t="shared" si="7"/>
        <v>1</v>
      </c>
      <c r="BB22" s="129" t="str">
        <f>IF(AND(G4&lt;=90%,G4&gt;70%,AL5=0,AL6=0,AL7=0),"Attention Required !",IF(AND(G4&lt;=95%,G4&gt;90%,AL5=0,AL6=0,AL7=0),"Keep it up !",IF(AND(G4&lt;100%,G4&gt;95%,AL5=0,AL6=0,AL7=0),"Just missed !",(IF(G4=100%,"Bravo !! ",IF(G4="","","High alert !"))))))</f>
        <v/>
      </c>
    </row>
    <row r="23" spans="1:54" x14ac:dyDescent="0.25">
      <c r="A23" s="236">
        <f t="shared" si="8"/>
        <v>0</v>
      </c>
      <c r="B23" s="148" t="s">
        <v>90</v>
      </c>
      <c r="C23" s="171"/>
      <c r="D23" s="280"/>
      <c r="E23" s="280"/>
      <c r="F23" s="281"/>
      <c r="G23" s="178"/>
      <c r="H23" s="178"/>
      <c r="I23" s="178"/>
      <c r="O23" s="102"/>
      <c r="AI23" s="219" t="s">
        <v>92</v>
      </c>
      <c r="AJ23" s="88" t="s">
        <v>32</v>
      </c>
      <c r="AK23" s="88">
        <f t="shared" si="1"/>
        <v>0</v>
      </c>
      <c r="AL23" s="89">
        <f>COUNTIF('AC Report'!$G$27:$G$1048576,AJ23)</f>
        <v>0</v>
      </c>
      <c r="AM23" s="149">
        <v>2</v>
      </c>
      <c r="AN23" s="132"/>
      <c r="AO23" s="150" t="str">
        <f t="shared" si="2"/>
        <v xml:space="preserve"> </v>
      </c>
      <c r="AP23" s="151" t="e">
        <f t="shared" si="3"/>
        <v>#DIV/0!</v>
      </c>
      <c r="AQ23" s="132" t="e">
        <f t="shared" si="4"/>
        <v>#DIV/0!</v>
      </c>
      <c r="AR23" s="152" t="e">
        <f t="shared" si="9"/>
        <v>#DIV/0!</v>
      </c>
      <c r="AS23" s="89">
        <f>COUNTIF('AC Report'!$H$27:$H$1048576,AJ23)</f>
        <v>0</v>
      </c>
      <c r="AT23" s="132">
        <f t="shared" si="5"/>
        <v>0</v>
      </c>
      <c r="AU23" s="132">
        <f t="shared" si="6"/>
        <v>0</v>
      </c>
      <c r="AV23" s="132"/>
      <c r="AW23" s="132"/>
      <c r="AX23" s="132" t="b">
        <f t="shared" si="7"/>
        <v>1</v>
      </c>
    </row>
    <row r="24" spans="1:54" x14ac:dyDescent="0.25">
      <c r="A24" s="236">
        <f t="shared" si="8"/>
        <v>0</v>
      </c>
      <c r="B24" s="148" t="s">
        <v>90</v>
      </c>
      <c r="C24" s="171"/>
      <c r="D24" s="280"/>
      <c r="E24" s="280"/>
      <c r="F24" s="281"/>
      <c r="G24" s="178"/>
      <c r="H24" s="178"/>
      <c r="I24" s="178"/>
      <c r="O24" s="102"/>
      <c r="AI24" s="219"/>
      <c r="AJ24" s="88" t="s">
        <v>33</v>
      </c>
      <c r="AK24" s="88">
        <f t="shared" si="1"/>
        <v>0</v>
      </c>
      <c r="AL24" s="89">
        <f>COUNTIF('AC Report'!$G$27:$G$1048576,AJ24)</f>
        <v>0</v>
      </c>
      <c r="AM24" s="149">
        <v>0</v>
      </c>
      <c r="AN24" s="132"/>
      <c r="AO24" s="150" t="str">
        <f t="shared" si="2"/>
        <v xml:space="preserve"> </v>
      </c>
      <c r="AP24" s="151" t="e">
        <f t="shared" si="3"/>
        <v>#DIV/0!</v>
      </c>
      <c r="AQ24" s="132" t="e">
        <f t="shared" si="4"/>
        <v>#DIV/0!</v>
      </c>
      <c r="AR24" s="152" t="e">
        <f t="shared" si="9"/>
        <v>#DIV/0!</v>
      </c>
      <c r="AS24" s="89">
        <f>COUNTIF('AC Report'!$H$27:$H$1048576,AJ24)</f>
        <v>0</v>
      </c>
      <c r="AT24" s="132">
        <f t="shared" si="5"/>
        <v>0</v>
      </c>
      <c r="AU24" s="132">
        <f t="shared" si="6"/>
        <v>0</v>
      </c>
      <c r="AV24" s="132"/>
      <c r="AW24" s="132"/>
      <c r="AX24" s="132" t="b">
        <f t="shared" si="7"/>
        <v>1</v>
      </c>
    </row>
    <row r="25" spans="1:54" x14ac:dyDescent="0.25">
      <c r="A25" s="236">
        <f t="shared" si="8"/>
        <v>0</v>
      </c>
      <c r="B25" s="148" t="s">
        <v>90</v>
      </c>
      <c r="C25" s="171"/>
      <c r="D25" s="179"/>
      <c r="E25" s="173"/>
      <c r="F25" s="178"/>
      <c r="G25" s="178"/>
      <c r="H25" s="178"/>
      <c r="I25" s="178"/>
      <c r="O25" s="102"/>
      <c r="AI25" s="219" t="s">
        <v>94</v>
      </c>
      <c r="AJ25" s="98" t="str">
        <f>AJ33</f>
        <v>Incorrect reporting</v>
      </c>
      <c r="AK25" s="88">
        <f t="shared" si="1"/>
        <v>0</v>
      </c>
      <c r="AL25" s="89">
        <f>COUNTIF('AC Report'!$G$27:$G$1048576,AJ25)</f>
        <v>0</v>
      </c>
      <c r="AM25" s="149">
        <f>AK33</f>
        <v>1</v>
      </c>
      <c r="AN25" s="132"/>
      <c r="AO25" s="150" t="str">
        <f t="shared" si="2"/>
        <v xml:space="preserve"> </v>
      </c>
      <c r="AP25" s="151" t="e">
        <f t="shared" ref="AP25:AP27" si="17">AM25*(100/$E$11)</f>
        <v>#DIV/0!</v>
      </c>
      <c r="AQ25" s="132" t="e">
        <f t="shared" ref="AQ25:AQ27" si="18">AP25*AL25</f>
        <v>#DIV/0!</v>
      </c>
      <c r="AR25" s="152" t="e">
        <f t="shared" ref="AR25:AR27" si="19">(AL25/AK25)</f>
        <v>#DIV/0!</v>
      </c>
      <c r="AS25" s="89">
        <f>COUNTIF('AC Report'!$H$27:$H$1048576,AJ25)</f>
        <v>0</v>
      </c>
      <c r="AT25" s="132">
        <f t="shared" ref="AT25:AT27" si="20">AM25*AS25</f>
        <v>0</v>
      </c>
      <c r="AU25" s="132">
        <f t="shared" ref="AU25:AU27" si="21">AL25*AM25</f>
        <v>0</v>
      </c>
      <c r="AV25" s="132"/>
      <c r="AW25" s="132"/>
      <c r="AX25" s="132" t="b">
        <f t="shared" si="7"/>
        <v>1</v>
      </c>
    </row>
    <row r="26" spans="1:54" x14ac:dyDescent="0.25">
      <c r="A26" s="236">
        <f t="shared" si="8"/>
        <v>0</v>
      </c>
      <c r="B26" s="148" t="s">
        <v>90</v>
      </c>
      <c r="C26" s="171"/>
      <c r="D26" s="179"/>
      <c r="E26" s="173"/>
      <c r="F26" s="178"/>
      <c r="G26" s="178"/>
      <c r="H26" s="178"/>
      <c r="I26" s="178"/>
      <c r="O26" s="102"/>
      <c r="AI26" s="219" t="s">
        <v>92</v>
      </c>
      <c r="AJ26" s="98" t="str">
        <f>AJ34</f>
        <v>Algo consistency</v>
      </c>
      <c r="AK26" s="88">
        <f t="shared" si="1"/>
        <v>0</v>
      </c>
      <c r="AL26" s="89">
        <f>COUNTIF('AC Report'!$G$27:$G$1048576,AJ26)</f>
        <v>0</v>
      </c>
      <c r="AM26" s="149">
        <f>AK34</f>
        <v>1</v>
      </c>
      <c r="AN26" s="132"/>
      <c r="AO26" s="150" t="str">
        <f t="shared" si="2"/>
        <v xml:space="preserve"> </v>
      </c>
      <c r="AP26" s="151" t="e">
        <f t="shared" si="17"/>
        <v>#DIV/0!</v>
      </c>
      <c r="AQ26" s="132" t="e">
        <f t="shared" si="18"/>
        <v>#DIV/0!</v>
      </c>
      <c r="AR26" s="152" t="e">
        <f t="shared" si="19"/>
        <v>#DIV/0!</v>
      </c>
      <c r="AS26" s="89">
        <f>COUNTIF('AC Report'!$H$27:$H$1048576,AJ26)</f>
        <v>0</v>
      </c>
      <c r="AT26" s="132">
        <f t="shared" si="20"/>
        <v>0</v>
      </c>
      <c r="AU26" s="132">
        <f t="shared" si="21"/>
        <v>0</v>
      </c>
      <c r="AV26" s="132"/>
      <c r="AW26" s="132"/>
      <c r="AX26" s="132" t="b">
        <f t="shared" si="7"/>
        <v>1</v>
      </c>
    </row>
    <row r="27" spans="1:54" x14ac:dyDescent="0.25">
      <c r="A27" s="236">
        <f t="shared" si="8"/>
        <v>0</v>
      </c>
      <c r="B27" s="148" t="s">
        <v>90</v>
      </c>
      <c r="C27" s="171"/>
      <c r="D27" s="180"/>
      <c r="E27" s="173"/>
      <c r="F27" s="178"/>
      <c r="G27" s="178"/>
      <c r="H27" s="178"/>
      <c r="I27" s="178"/>
      <c r="J27" s="95"/>
      <c r="K27" s="95"/>
      <c r="L27" s="95"/>
      <c r="M27" s="95"/>
      <c r="N27" s="95"/>
      <c r="O27" s="103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218"/>
      <c r="AJ27" s="98" t="str">
        <f>AJ35</f>
        <v>Adherence to guidelines</v>
      </c>
      <c r="AK27" s="88">
        <f t="shared" si="1"/>
        <v>0</v>
      </c>
      <c r="AL27" s="89">
        <f>COUNTIF('AC Report'!$G$27:$G$1048576,AJ27)</f>
        <v>0</v>
      </c>
      <c r="AM27" s="149">
        <f>AK35</f>
        <v>2</v>
      </c>
      <c r="AN27" s="132"/>
      <c r="AO27" s="150" t="str">
        <f t="shared" si="2"/>
        <v xml:space="preserve"> </v>
      </c>
      <c r="AP27" s="151" t="e">
        <f t="shared" si="17"/>
        <v>#DIV/0!</v>
      </c>
      <c r="AQ27" s="132" t="e">
        <f t="shared" si="18"/>
        <v>#DIV/0!</v>
      </c>
      <c r="AR27" s="152" t="e">
        <f t="shared" si="19"/>
        <v>#DIV/0!</v>
      </c>
      <c r="AS27" s="89">
        <f>COUNTIF('AC Report'!$H$27:$H$1048576,AJ27)</f>
        <v>0</v>
      </c>
      <c r="AT27" s="132">
        <f t="shared" si="20"/>
        <v>0</v>
      </c>
      <c r="AU27" s="132">
        <f t="shared" si="21"/>
        <v>0</v>
      </c>
      <c r="AV27" s="132"/>
      <c r="AW27" s="132"/>
      <c r="AX27" s="132" t="b">
        <f t="shared" si="7"/>
        <v>1</v>
      </c>
    </row>
    <row r="28" spans="1:54" x14ac:dyDescent="0.25">
      <c r="A28" s="236">
        <f t="shared" si="8"/>
        <v>0</v>
      </c>
      <c r="B28" s="148" t="s">
        <v>90</v>
      </c>
      <c r="C28" s="171"/>
      <c r="D28" s="181"/>
      <c r="E28" s="173"/>
      <c r="F28" s="178"/>
      <c r="G28" s="178"/>
      <c r="H28" s="178"/>
      <c r="I28" s="178"/>
      <c r="O28" s="102"/>
      <c r="AI28" s="219"/>
      <c r="AJ28" s="98">
        <f>AJ36</f>
        <v>0</v>
      </c>
      <c r="AK28" s="88">
        <f t="shared" ref="AK28" si="22">AS28</f>
        <v>0</v>
      </c>
      <c r="AL28" s="89">
        <f>COUNTIF('AC Report'!$G$27:$G$1048576,AJ28)</f>
        <v>0</v>
      </c>
      <c r="AM28" s="149">
        <f>AK36</f>
        <v>0</v>
      </c>
      <c r="AN28" s="132"/>
      <c r="AO28" s="150" t="str">
        <f t="shared" si="2"/>
        <v xml:space="preserve"> </v>
      </c>
      <c r="AP28" s="151" t="e">
        <f>AM28*(100/$E$11)</f>
        <v>#DIV/0!</v>
      </c>
      <c r="AQ28" s="132" t="e">
        <f t="shared" si="4"/>
        <v>#DIV/0!</v>
      </c>
      <c r="AR28" s="152" t="e">
        <f t="shared" si="9"/>
        <v>#DIV/0!</v>
      </c>
      <c r="AS28" s="89">
        <f>COUNTIF('AC Report'!$H$27:$H$1048576,AJ28)</f>
        <v>0</v>
      </c>
      <c r="AT28" s="132">
        <f t="shared" si="5"/>
        <v>0</v>
      </c>
      <c r="AU28" s="132">
        <f t="shared" si="6"/>
        <v>0</v>
      </c>
      <c r="AV28" s="132"/>
      <c r="AW28" s="132"/>
      <c r="AX28" s="132" t="b">
        <f t="shared" si="7"/>
        <v>1</v>
      </c>
    </row>
    <row r="29" spans="1:54" hidden="1" x14ac:dyDescent="0.25">
      <c r="A29" s="236">
        <f t="shared" si="8"/>
        <v>0</v>
      </c>
      <c r="B29" s="148" t="s">
        <v>90</v>
      </c>
      <c r="C29" s="171"/>
      <c r="D29" s="181"/>
      <c r="E29" s="173"/>
      <c r="F29" s="178"/>
      <c r="G29" s="178"/>
      <c r="H29" s="178"/>
      <c r="I29" s="178"/>
      <c r="O29" s="102"/>
      <c r="AJ29" s="90"/>
      <c r="AK29" s="90"/>
      <c r="AL29" s="91" t="e">
        <f>IF((100-AQ29)/100&lt;0,"0%",(100-AQ29)/100)</f>
        <v>#DIV/0!</v>
      </c>
      <c r="AM29" s="154"/>
      <c r="AN29" s="132"/>
      <c r="AO29" s="132"/>
      <c r="AP29" s="202" t="e">
        <f>SUM(AP5:AP28)</f>
        <v>#DIV/0!</v>
      </c>
      <c r="AQ29" s="132" t="e">
        <f>SUM(AQ5:AQ28)</f>
        <v>#DIV/0!</v>
      </c>
      <c r="AR29" s="132"/>
      <c r="AS29" s="91">
        <f>IF(1-AT30&lt;0,0%,1-AT30)</f>
        <v>1</v>
      </c>
      <c r="AT29" s="90">
        <f>SUM(AT5:AT28)</f>
        <v>0</v>
      </c>
      <c r="AU29" s="90">
        <f>SUM(AU5:AU28)</f>
        <v>0</v>
      </c>
      <c r="AV29" s="132"/>
      <c r="AW29" s="132"/>
      <c r="AX29" s="132">
        <f>COUNTIF(AX5:AX28,"TRUE")</f>
        <v>24</v>
      </c>
    </row>
    <row r="30" spans="1:54" hidden="1" x14ac:dyDescent="0.25">
      <c r="A30" s="236">
        <v>0</v>
      </c>
      <c r="B30" s="148" t="s">
        <v>90</v>
      </c>
      <c r="C30" s="171"/>
      <c r="D30" s="181"/>
      <c r="E30" s="173"/>
      <c r="F30" s="178"/>
      <c r="G30" s="178"/>
      <c r="H30" s="178"/>
      <c r="I30" s="178"/>
      <c r="O30" s="102"/>
      <c r="AJ30" s="132"/>
      <c r="AK30" s="136">
        <f>SUM(AK5:AK29)</f>
        <v>0</v>
      </c>
      <c r="AL30" s="136" t="e">
        <f>SUM(AL5:AL29)</f>
        <v>#DIV/0!</v>
      </c>
      <c r="AM30" s="155"/>
      <c r="AN30" s="132"/>
      <c r="AO30" s="132"/>
      <c r="AP30" s="132"/>
      <c r="AQ30" s="132"/>
      <c r="AR30" s="132"/>
      <c r="AS30" s="132"/>
      <c r="AT30" s="132">
        <f>IF(ISERROR(AU29/AT29),0,AU29/AT29)</f>
        <v>0</v>
      </c>
      <c r="AU30" s="132"/>
      <c r="AV30" s="132"/>
      <c r="AW30" s="132"/>
      <c r="AX30" s="132"/>
    </row>
    <row r="31" spans="1:54" x14ac:dyDescent="0.25">
      <c r="A31" s="236" t="str">
        <f>G4</f>
        <v/>
      </c>
      <c r="B31" s="148" t="s">
        <v>90</v>
      </c>
      <c r="C31" s="171"/>
      <c r="O31" s="102"/>
      <c r="AJ31" s="133"/>
      <c r="AK31" s="133"/>
      <c r="AL31" s="134"/>
    </row>
    <row r="32" spans="1:54" x14ac:dyDescent="0.25">
      <c r="A32" s="236">
        <v>0</v>
      </c>
      <c r="B32" s="148" t="s">
        <v>90</v>
      </c>
      <c r="C32" s="171"/>
      <c r="J32" s="117"/>
      <c r="K32" s="96"/>
      <c r="L32" s="96"/>
      <c r="M32" s="96"/>
      <c r="N32" s="96"/>
      <c r="O32" s="104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88" t="s">
        <v>96</v>
      </c>
      <c r="AK32" s="133"/>
      <c r="AL32" s="134"/>
      <c r="AT32" s="83">
        <f>1-AT30</f>
        <v>1</v>
      </c>
      <c r="AU32" s="83" t="e">
        <f>AT32*AV34</f>
        <v>#DIV/0!</v>
      </c>
      <c r="AV32" s="83" t="e">
        <f>AT32-AU32</f>
        <v>#DIV/0!</v>
      </c>
    </row>
    <row r="33" spans="1:49" x14ac:dyDescent="0.25">
      <c r="A33" s="236">
        <f>K7</f>
        <v>0</v>
      </c>
      <c r="B33" s="148" t="s">
        <v>90</v>
      </c>
      <c r="C33" s="171"/>
      <c r="J33" s="117"/>
      <c r="K33" s="96"/>
      <c r="L33" s="96"/>
      <c r="M33" s="96"/>
      <c r="N33" s="96"/>
      <c r="O33" s="104"/>
      <c r="AI33" s="200"/>
      <c r="AJ33" s="199" t="s">
        <v>89</v>
      </c>
      <c r="AK33" s="200">
        <v>1</v>
      </c>
      <c r="AL33" s="134"/>
    </row>
    <row r="34" spans="1:49" x14ac:dyDescent="0.25">
      <c r="A34" s="236" t="str">
        <f>G6</f>
        <v/>
      </c>
      <c r="B34" s="148" t="s">
        <v>90</v>
      </c>
      <c r="C34" s="171"/>
      <c r="L34" s="96"/>
      <c r="M34" s="96"/>
      <c r="N34" s="96"/>
      <c r="O34" s="104"/>
      <c r="AI34" s="200"/>
      <c r="AJ34" s="199" t="s">
        <v>91</v>
      </c>
      <c r="AK34" s="200">
        <v>1</v>
      </c>
      <c r="AL34" s="134"/>
      <c r="AT34" s="129">
        <f>E12</f>
        <v>0</v>
      </c>
      <c r="AU34" s="129">
        <f>E13</f>
        <v>0</v>
      </c>
      <c r="AV34" s="83" t="e">
        <f>AU34/AT34</f>
        <v>#DIV/0!</v>
      </c>
    </row>
    <row r="35" spans="1:49" x14ac:dyDescent="0.25">
      <c r="A35" s="236">
        <f>L11</f>
        <v>0</v>
      </c>
      <c r="B35" s="148" t="s">
        <v>90</v>
      </c>
      <c r="C35" s="171"/>
      <c r="L35" s="96"/>
      <c r="M35" s="96"/>
      <c r="N35" s="96"/>
      <c r="O35" s="104"/>
      <c r="AI35" s="200"/>
      <c r="AJ35" s="199" t="s">
        <v>102</v>
      </c>
      <c r="AK35" s="200">
        <v>2</v>
      </c>
      <c r="AL35" s="134"/>
      <c r="AM35" s="141"/>
    </row>
    <row r="36" spans="1:49" x14ac:dyDescent="0.25">
      <c r="A36" s="237">
        <f>L12</f>
        <v>0</v>
      </c>
      <c r="B36" s="148" t="s">
        <v>90</v>
      </c>
      <c r="C36" s="171"/>
      <c r="L36" s="96"/>
      <c r="M36" s="96"/>
      <c r="N36" s="96"/>
      <c r="O36" s="104"/>
      <c r="AI36" s="200"/>
      <c r="AJ36" s="199"/>
      <c r="AK36" s="200"/>
      <c r="AL36" s="134"/>
      <c r="AS36" s="142" t="s">
        <v>67</v>
      </c>
      <c r="AT36" s="143">
        <v>50</v>
      </c>
      <c r="AU36" s="129">
        <f>IF(AW38=0,10%,AT38/AT40)</f>
        <v>0.1</v>
      </c>
      <c r="AV36" s="129" t="e">
        <f>AU36*AV34</f>
        <v>#DIV/0!</v>
      </c>
      <c r="AW36" s="83" t="e">
        <f>IF(AT32-AV36&gt;0,AT32-AV36,0)</f>
        <v>#DIV/0!</v>
      </c>
    </row>
    <row r="37" spans="1:49" x14ac:dyDescent="0.25">
      <c r="A37" s="238" t="str">
        <f>AK2</f>
        <v>100%</v>
      </c>
      <c r="B37" s="148" t="s">
        <v>90</v>
      </c>
      <c r="C37" s="171"/>
      <c r="O37" s="102"/>
      <c r="AJ37" s="138"/>
      <c r="AK37" s="138"/>
      <c r="AL37" s="134"/>
      <c r="AS37" s="144" t="s">
        <v>68</v>
      </c>
      <c r="AT37" s="145">
        <v>15</v>
      </c>
    </row>
    <row r="38" spans="1:49" x14ac:dyDescent="0.25">
      <c r="B38" s="148" t="s">
        <v>90</v>
      </c>
      <c r="C38" s="171"/>
      <c r="O38" s="102"/>
      <c r="AJ38" s="222" t="s">
        <v>95</v>
      </c>
      <c r="AK38" s="138"/>
      <c r="AL38" s="134"/>
      <c r="AS38" s="144" t="s">
        <v>69</v>
      </c>
      <c r="AT38" s="145">
        <v>25</v>
      </c>
      <c r="AV38" s="129" t="s">
        <v>81</v>
      </c>
      <c r="AW38" s="129">
        <f>AL5+AL6+AL7+AL8+AL9+AL13+AL14+AL17+AL23+AL18+AL19+AL20+AL21</f>
        <v>0</v>
      </c>
    </row>
    <row r="39" spans="1:49" x14ac:dyDescent="0.25">
      <c r="B39" s="148" t="s">
        <v>90</v>
      </c>
      <c r="C39" s="171"/>
      <c r="O39" s="102"/>
      <c r="AI39" s="227" t="s">
        <v>92</v>
      </c>
      <c r="AJ39" s="225">
        <f ca="1">SUMIF($AI$5:$AL$28,AI39,$AL$5:$AL$28)</f>
        <v>0</v>
      </c>
      <c r="AK39" s="138"/>
      <c r="AL39" s="134"/>
      <c r="AS39" s="144" t="s">
        <v>70</v>
      </c>
      <c r="AT39" s="145">
        <v>10</v>
      </c>
      <c r="AV39" s="129" t="s">
        <v>28</v>
      </c>
      <c r="AW39" s="129">
        <f>E13</f>
        <v>0</v>
      </c>
    </row>
    <row r="40" spans="1:49" x14ac:dyDescent="0.25">
      <c r="B40" s="148" t="s">
        <v>90</v>
      </c>
      <c r="C40" s="171"/>
      <c r="F40" s="158"/>
      <c r="G40" s="158"/>
      <c r="H40" s="158"/>
      <c r="I40" s="158"/>
      <c r="J40" s="158"/>
      <c r="K40" s="158"/>
      <c r="L40" s="158"/>
      <c r="M40" s="158"/>
      <c r="N40" s="158"/>
      <c r="O40" s="182"/>
      <c r="AI40" s="227" t="s">
        <v>94</v>
      </c>
      <c r="AJ40" s="225">
        <f t="shared" ref="AJ40:AJ41" ca="1" si="23">SUMIF($AI$5:$AL$28,AI40,$AL$5:$AL$28)</f>
        <v>0</v>
      </c>
      <c r="AK40" s="138"/>
      <c r="AL40" s="134"/>
      <c r="AS40" s="146"/>
      <c r="AT40" s="147">
        <f>SUM(AT36:AT39)</f>
        <v>100</v>
      </c>
      <c r="AV40" s="129" t="s">
        <v>82</v>
      </c>
      <c r="AW40" s="129">
        <f>SUM(AL5:AL28)-AW38</f>
        <v>0</v>
      </c>
    </row>
    <row r="41" spans="1:49" ht="15.75" thickBot="1" x14ac:dyDescent="0.3">
      <c r="B41" s="148" t="s">
        <v>90</v>
      </c>
      <c r="C41" s="183"/>
      <c r="D41" s="184"/>
      <c r="E41" s="184"/>
      <c r="F41" s="185"/>
      <c r="G41" s="185"/>
      <c r="H41" s="185"/>
      <c r="I41" s="185"/>
      <c r="J41" s="185"/>
      <c r="K41" s="185"/>
      <c r="L41" s="185"/>
      <c r="M41" s="185"/>
      <c r="N41" s="185"/>
      <c r="O41" s="186"/>
      <c r="AI41" s="227" t="s">
        <v>93</v>
      </c>
      <c r="AJ41" s="225">
        <f t="shared" ca="1" si="23"/>
        <v>0</v>
      </c>
      <c r="AK41" s="138"/>
      <c r="AL41" s="134"/>
    </row>
    <row r="42" spans="1:49" s="133" customFormat="1" ht="15.75" thickTop="1" x14ac:dyDescent="0.25">
      <c r="A42" s="237"/>
      <c r="B42" s="148" t="s">
        <v>90</v>
      </c>
      <c r="D42" s="156"/>
      <c r="E42" s="156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AJ42" s="138"/>
      <c r="AK42" s="138"/>
      <c r="AL42" s="134"/>
    </row>
    <row r="43" spans="1:49" hidden="1" x14ac:dyDescent="0.25">
      <c r="A43" s="239"/>
      <c r="D43" s="157"/>
      <c r="E43" s="157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AJ43" s="139"/>
      <c r="AK43" s="139"/>
    </row>
    <row r="44" spans="1:49" hidden="1" x14ac:dyDescent="0.25">
      <c r="D44" s="157"/>
      <c r="E44" s="157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AJ44" s="139"/>
      <c r="AK44" s="139"/>
    </row>
    <row r="45" spans="1:49" hidden="1" x14ac:dyDescent="0.25">
      <c r="D45" s="157"/>
      <c r="E45" s="157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AJ45" s="139"/>
      <c r="AK45" s="139"/>
    </row>
    <row r="46" spans="1:49" hidden="1" x14ac:dyDescent="0.25">
      <c r="D46" s="157"/>
      <c r="E46" s="157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AJ46" s="139"/>
      <c r="AK46" s="139"/>
    </row>
    <row r="47" spans="1:49" hidden="1" x14ac:dyDescent="0.25">
      <c r="D47" s="157"/>
      <c r="E47" s="157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AJ47" s="139"/>
      <c r="AK47" s="139"/>
    </row>
    <row r="48" spans="1:49" hidden="1" x14ac:dyDescent="0.25">
      <c r="D48" s="157"/>
      <c r="E48" s="157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AJ48" s="139"/>
      <c r="AK48" s="139"/>
    </row>
    <row r="49" spans="3:38" hidden="1" x14ac:dyDescent="0.25">
      <c r="D49" s="157"/>
      <c r="E49" s="157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AJ49" s="139"/>
      <c r="AK49" s="139"/>
    </row>
    <row r="50" spans="3:38" hidden="1" x14ac:dyDescent="0.25">
      <c r="D50" s="157"/>
      <c r="E50" s="157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AJ50" s="139"/>
      <c r="AK50" s="139"/>
      <c r="AL50" s="129"/>
    </row>
    <row r="51" spans="3:38" hidden="1" x14ac:dyDescent="0.25">
      <c r="D51" s="157"/>
      <c r="E51" s="157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AJ51" s="139"/>
      <c r="AK51" s="139"/>
      <c r="AL51" s="129"/>
    </row>
    <row r="52" spans="3:38" hidden="1" x14ac:dyDescent="0.25">
      <c r="D52" s="157"/>
      <c r="E52" s="157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AJ52" s="139"/>
      <c r="AK52" s="139"/>
      <c r="AL52" s="129"/>
    </row>
    <row r="53" spans="3:38" hidden="1" x14ac:dyDescent="0.25">
      <c r="D53" s="157"/>
      <c r="E53" s="157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9"/>
      <c r="AK53" s="139"/>
      <c r="AL53" s="129"/>
    </row>
    <row r="54" spans="3:38" hidden="1" x14ac:dyDescent="0.25">
      <c r="D54" s="157"/>
      <c r="E54" s="157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9"/>
      <c r="AK54" s="139"/>
      <c r="AL54" s="129"/>
    </row>
    <row r="55" spans="3:38" hidden="1" x14ac:dyDescent="0.25">
      <c r="D55" s="157"/>
      <c r="E55" s="157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9"/>
      <c r="AK55" s="139"/>
      <c r="AL55" s="129"/>
    </row>
    <row r="56" spans="3:38" hidden="1" x14ac:dyDescent="0.25">
      <c r="D56" s="157"/>
      <c r="E56" s="157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9"/>
      <c r="AK56" s="139"/>
      <c r="AL56" s="129"/>
    </row>
    <row r="57" spans="3:38" hidden="1" x14ac:dyDescent="0.25">
      <c r="D57" s="157"/>
      <c r="E57" s="157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9"/>
      <c r="AK57" s="139"/>
      <c r="AL57" s="129"/>
    </row>
    <row r="58" spans="3:38" hidden="1" x14ac:dyDescent="0.25">
      <c r="D58" s="157"/>
      <c r="E58" s="157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9"/>
      <c r="AK58" s="139"/>
      <c r="AL58" s="129"/>
    </row>
    <row r="59" spans="3:38" hidden="1" x14ac:dyDescent="0.25">
      <c r="D59" s="157"/>
      <c r="E59" s="157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9"/>
      <c r="AK59" s="139"/>
      <c r="AL59" s="129"/>
    </row>
    <row r="60" spans="3:38" hidden="1" x14ac:dyDescent="0.25">
      <c r="D60" s="157"/>
      <c r="E60" s="157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9"/>
      <c r="AK60" s="139"/>
      <c r="AL60" s="129"/>
    </row>
    <row r="61" spans="3:38" hidden="1" x14ac:dyDescent="0.25">
      <c r="C61" s="82"/>
      <c r="D61" s="157"/>
      <c r="E61" s="157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9"/>
      <c r="AK61" s="139"/>
      <c r="AL61" s="129"/>
    </row>
    <row r="62" spans="3:38" hidden="1" x14ac:dyDescent="0.25">
      <c r="D62" s="157"/>
      <c r="E62" s="157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9"/>
      <c r="AK62" s="139"/>
      <c r="AL62" s="129"/>
    </row>
    <row r="63" spans="3:38" hidden="1" x14ac:dyDescent="0.25">
      <c r="D63" s="157"/>
      <c r="E63" s="157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9"/>
      <c r="AK63" s="139"/>
      <c r="AL63" s="129"/>
    </row>
    <row r="64" spans="3:38" hidden="1" x14ac:dyDescent="0.25">
      <c r="D64" s="157"/>
      <c r="E64" s="157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9"/>
      <c r="AK64" s="139"/>
      <c r="AL64" s="129"/>
    </row>
    <row r="65" spans="4:38" hidden="1" x14ac:dyDescent="0.25">
      <c r="D65" s="157"/>
      <c r="E65" s="157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9"/>
      <c r="AK65" s="139"/>
      <c r="AL65" s="129"/>
    </row>
    <row r="66" spans="4:38" hidden="1" x14ac:dyDescent="0.25">
      <c r="D66" s="157"/>
      <c r="E66" s="157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9"/>
      <c r="AK66" s="139"/>
      <c r="AL66" s="129"/>
    </row>
    <row r="67" spans="4:38" hidden="1" x14ac:dyDescent="0.25">
      <c r="D67" s="157"/>
      <c r="E67" s="157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9"/>
      <c r="AK67" s="139"/>
      <c r="AL67" s="129"/>
    </row>
    <row r="68" spans="4:38" hidden="1" x14ac:dyDescent="0.25">
      <c r="D68" s="157"/>
      <c r="E68" s="157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9"/>
      <c r="AK68" s="139"/>
      <c r="AL68" s="129"/>
    </row>
    <row r="69" spans="4:38" hidden="1" x14ac:dyDescent="0.25">
      <c r="D69" s="157"/>
      <c r="E69" s="157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9"/>
      <c r="AK69" s="139"/>
      <c r="AL69" s="129"/>
    </row>
    <row r="70" spans="4:38" hidden="1" x14ac:dyDescent="0.25">
      <c r="D70" s="157"/>
      <c r="E70" s="157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9"/>
      <c r="AK70" s="139"/>
      <c r="AL70" s="129"/>
    </row>
    <row r="71" spans="4:38" hidden="1" x14ac:dyDescent="0.25">
      <c r="D71" s="157"/>
      <c r="E71" s="157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9"/>
      <c r="AK71" s="139"/>
      <c r="AL71" s="129"/>
    </row>
    <row r="72" spans="4:38" hidden="1" x14ac:dyDescent="0.25">
      <c r="D72" s="157"/>
      <c r="E72" s="157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9"/>
      <c r="AK72" s="139"/>
      <c r="AL72" s="129"/>
    </row>
    <row r="73" spans="4:38" hidden="1" x14ac:dyDescent="0.25">
      <c r="D73" s="157"/>
      <c r="E73" s="157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9"/>
      <c r="AK73" s="139"/>
      <c r="AL73" s="129"/>
    </row>
    <row r="74" spans="4:38" hidden="1" x14ac:dyDescent="0.25">
      <c r="D74" s="157"/>
      <c r="E74" s="157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9"/>
      <c r="AK74" s="139"/>
      <c r="AL74" s="129"/>
    </row>
    <row r="75" spans="4:38" hidden="1" x14ac:dyDescent="0.25">
      <c r="D75" s="157"/>
      <c r="E75" s="157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9"/>
      <c r="AK75" s="139"/>
      <c r="AL75" s="129"/>
    </row>
    <row r="76" spans="4:38" hidden="1" x14ac:dyDescent="0.25">
      <c r="D76" s="157"/>
      <c r="E76" s="157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K76" s="139"/>
      <c r="AL76" s="129"/>
    </row>
    <row r="77" spans="4:38" hidden="1" x14ac:dyDescent="0.25">
      <c r="D77" s="157"/>
      <c r="E77" s="157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K77" s="139"/>
      <c r="AL77" s="129"/>
    </row>
    <row r="78" spans="4:38" hidden="1" x14ac:dyDescent="0.25">
      <c r="D78" s="157"/>
      <c r="E78" s="157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K78" s="139"/>
      <c r="AL78" s="129"/>
    </row>
    <row r="79" spans="4:38" hidden="1" x14ac:dyDescent="0.25">
      <c r="D79" s="157"/>
      <c r="E79" s="157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K79" s="139"/>
      <c r="AL79" s="129"/>
    </row>
    <row r="80" spans="4:38" hidden="1" x14ac:dyDescent="0.25">
      <c r="D80" s="157"/>
      <c r="E80" s="157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K80" s="139"/>
      <c r="AL80" s="129"/>
    </row>
    <row r="81" spans="4:38" hidden="1" x14ac:dyDescent="0.25">
      <c r="D81" s="157"/>
      <c r="E81" s="157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K81" s="139"/>
      <c r="AL81" s="129"/>
    </row>
    <row r="82" spans="4:38" hidden="1" x14ac:dyDescent="0.25">
      <c r="D82" s="157"/>
      <c r="E82" s="157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K82" s="139"/>
      <c r="AL82" s="129"/>
    </row>
    <row r="83" spans="4:38" hidden="1" x14ac:dyDescent="0.25">
      <c r="D83" s="157"/>
      <c r="E83" s="157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K83" s="139"/>
      <c r="AL83" s="129"/>
    </row>
    <row r="84" spans="4:38" hidden="1" x14ac:dyDescent="0.25">
      <c r="D84" s="157"/>
      <c r="E84" s="157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K84" s="139"/>
      <c r="AL84" s="129"/>
    </row>
    <row r="85" spans="4:38" hidden="1" x14ac:dyDescent="0.25">
      <c r="D85" s="157"/>
      <c r="E85" s="157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K85" s="139"/>
      <c r="AL85" s="129"/>
    </row>
    <row r="86" spans="4:38" hidden="1" x14ac:dyDescent="0.25">
      <c r="D86" s="157"/>
      <c r="E86" s="157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K86" s="139"/>
      <c r="AL86" s="129"/>
    </row>
    <row r="87" spans="4:38" hidden="1" x14ac:dyDescent="0.25">
      <c r="D87" s="157"/>
      <c r="E87" s="157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K87" s="139"/>
      <c r="AL87" s="129"/>
    </row>
    <row r="88" spans="4:38" hidden="1" x14ac:dyDescent="0.25">
      <c r="D88" s="157"/>
      <c r="E88" s="157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K88" s="139"/>
      <c r="AL88" s="129"/>
    </row>
    <row r="89" spans="4:38" hidden="1" x14ac:dyDescent="0.25">
      <c r="D89" s="157"/>
      <c r="E89" s="157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K89" s="139"/>
      <c r="AL89" s="129"/>
    </row>
    <row r="90" spans="4:38" hidden="1" x14ac:dyDescent="0.25">
      <c r="D90" s="157"/>
      <c r="E90" s="157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K90" s="139"/>
      <c r="AL90" s="129"/>
    </row>
    <row r="91" spans="4:38" hidden="1" x14ac:dyDescent="0.25">
      <c r="D91" s="157"/>
      <c r="E91" s="157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K91" s="139"/>
      <c r="AL91" s="129"/>
    </row>
    <row r="92" spans="4:38" hidden="1" x14ac:dyDescent="0.25">
      <c r="D92" s="157"/>
      <c r="E92" s="157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K92" s="139"/>
      <c r="AL92" s="129"/>
    </row>
    <row r="93" spans="4:38" hidden="1" x14ac:dyDescent="0.25">
      <c r="D93" s="157"/>
      <c r="E93" s="157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K93" s="139"/>
      <c r="AL93" s="129"/>
    </row>
    <row r="94" spans="4:38" hidden="1" x14ac:dyDescent="0.25">
      <c r="D94" s="157"/>
      <c r="E94" s="157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K94" s="139"/>
      <c r="AL94" s="129"/>
    </row>
    <row r="95" spans="4:38" hidden="1" x14ac:dyDescent="0.25">
      <c r="D95" s="157"/>
      <c r="E95" s="157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K95" s="139"/>
      <c r="AL95" s="129"/>
    </row>
    <row r="96" spans="4:38" hidden="1" x14ac:dyDescent="0.25">
      <c r="D96" s="159"/>
      <c r="E96" s="159"/>
      <c r="AK96" s="139"/>
      <c r="AL96" s="129"/>
    </row>
    <row r="97" spans="4:38" hidden="1" x14ac:dyDescent="0.25">
      <c r="D97" s="159"/>
      <c r="E97" s="159"/>
      <c r="AK97" s="139"/>
      <c r="AL97" s="129"/>
    </row>
    <row r="98" spans="4:38" hidden="1" x14ac:dyDescent="0.25">
      <c r="D98" s="159"/>
      <c r="E98" s="159"/>
      <c r="AK98" s="139"/>
      <c r="AL98" s="129"/>
    </row>
    <row r="99" spans="4:38" hidden="1" x14ac:dyDescent="0.25">
      <c r="D99" s="159"/>
      <c r="E99" s="159"/>
      <c r="AK99" s="139"/>
      <c r="AL99" s="129"/>
    </row>
    <row r="100" spans="4:38" hidden="1" x14ac:dyDescent="0.25">
      <c r="D100" s="159"/>
      <c r="E100" s="159"/>
      <c r="AK100" s="139"/>
      <c r="AL100" s="129"/>
    </row>
    <row r="101" spans="4:38" hidden="1" x14ac:dyDescent="0.25">
      <c r="D101" s="159"/>
      <c r="E101" s="159"/>
      <c r="AK101" s="139"/>
      <c r="AL101" s="129"/>
    </row>
    <row r="102" spans="4:38" hidden="1" x14ac:dyDescent="0.25">
      <c r="D102" s="159"/>
      <c r="E102" s="159"/>
      <c r="AK102" s="139"/>
      <c r="AL102" s="129"/>
    </row>
    <row r="103" spans="4:38" hidden="1" x14ac:dyDescent="0.25">
      <c r="D103" s="160"/>
      <c r="E103" s="160"/>
      <c r="AK103" s="139"/>
      <c r="AL103" s="129"/>
    </row>
    <row r="104" spans="4:38" hidden="1" x14ac:dyDescent="0.25">
      <c r="D104" s="161"/>
      <c r="E104" s="161"/>
      <c r="AK104" s="139"/>
      <c r="AL104" s="129"/>
    </row>
    <row r="105" spans="4:38" hidden="1" x14ac:dyDescent="0.25">
      <c r="D105" s="159"/>
      <c r="E105" s="159"/>
      <c r="AK105" s="139"/>
      <c r="AL105" s="129"/>
    </row>
    <row r="106" spans="4:38" hidden="1" x14ac:dyDescent="0.25">
      <c r="D106" s="159"/>
      <c r="E106" s="159"/>
      <c r="AK106" s="139"/>
      <c r="AL106" s="129"/>
    </row>
    <row r="107" spans="4:38" hidden="1" x14ac:dyDescent="0.25">
      <c r="D107" s="159"/>
      <c r="E107" s="159"/>
      <c r="AK107" s="139"/>
      <c r="AL107" s="129"/>
    </row>
    <row r="108" spans="4:38" hidden="1" x14ac:dyDescent="0.25">
      <c r="D108" s="159"/>
      <c r="E108" s="159"/>
      <c r="AK108" s="139"/>
      <c r="AL108" s="129"/>
    </row>
    <row r="109" spans="4:38" hidden="1" x14ac:dyDescent="0.25">
      <c r="D109" s="159"/>
      <c r="E109" s="159"/>
      <c r="AK109" s="139"/>
      <c r="AL109" s="129"/>
    </row>
    <row r="110" spans="4:38" hidden="1" x14ac:dyDescent="0.25">
      <c r="D110" s="159"/>
      <c r="E110" s="159"/>
      <c r="AK110" s="139"/>
      <c r="AL110" s="129"/>
    </row>
    <row r="111" spans="4:38" hidden="1" x14ac:dyDescent="0.25">
      <c r="D111" s="159"/>
      <c r="E111" s="159"/>
      <c r="AK111" s="139"/>
      <c r="AL111" s="129"/>
    </row>
    <row r="112" spans="4:38" hidden="1" x14ac:dyDescent="0.25">
      <c r="D112" s="159"/>
      <c r="E112" s="159"/>
      <c r="AK112" s="139"/>
      <c r="AL112" s="129"/>
    </row>
    <row r="113" spans="4:38" hidden="1" x14ac:dyDescent="0.25">
      <c r="D113" s="159"/>
      <c r="E113" s="159"/>
      <c r="AK113" s="139"/>
      <c r="AL113" s="129"/>
    </row>
    <row r="114" spans="4:38" hidden="1" x14ac:dyDescent="0.25">
      <c r="D114" s="159"/>
      <c r="E114" s="159"/>
      <c r="AK114" s="139"/>
      <c r="AL114" s="129"/>
    </row>
    <row r="115" spans="4:38" hidden="1" x14ac:dyDescent="0.25">
      <c r="D115" s="159"/>
      <c r="E115" s="159"/>
      <c r="AK115" s="139"/>
      <c r="AL115" s="129"/>
    </row>
    <row r="116" spans="4:38" hidden="1" x14ac:dyDescent="0.25">
      <c r="D116" s="159"/>
      <c r="E116" s="159"/>
      <c r="AK116" s="139"/>
      <c r="AL116" s="129"/>
    </row>
    <row r="117" spans="4:38" hidden="1" x14ac:dyDescent="0.25">
      <c r="D117" s="159"/>
      <c r="E117" s="159"/>
      <c r="AK117" s="139"/>
      <c r="AL117" s="129"/>
    </row>
    <row r="118" spans="4:38" hidden="1" x14ac:dyDescent="0.25">
      <c r="D118" s="159"/>
      <c r="E118" s="159"/>
      <c r="AK118" s="139"/>
      <c r="AL118" s="129"/>
    </row>
    <row r="119" spans="4:38" hidden="1" x14ac:dyDescent="0.25">
      <c r="D119" s="159"/>
      <c r="E119" s="159"/>
      <c r="AK119" s="139"/>
      <c r="AL119" s="129"/>
    </row>
    <row r="120" spans="4:38" hidden="1" x14ac:dyDescent="0.25">
      <c r="AK120" s="139"/>
      <c r="AL120" s="129"/>
    </row>
    <row r="121" spans="4:38" hidden="1" x14ac:dyDescent="0.25">
      <c r="AK121" s="139"/>
      <c r="AL121" s="129"/>
    </row>
    <row r="122" spans="4:38" hidden="1" x14ac:dyDescent="0.25">
      <c r="AK122" s="139"/>
      <c r="AL122" s="129"/>
    </row>
    <row r="123" spans="4:38" hidden="1" x14ac:dyDescent="0.25">
      <c r="AK123" s="139"/>
      <c r="AL123" s="129"/>
    </row>
    <row r="124" spans="4:38" hidden="1" x14ac:dyDescent="0.25">
      <c r="AK124" s="139"/>
      <c r="AL124" s="129"/>
    </row>
    <row r="125" spans="4:38" hidden="1" x14ac:dyDescent="0.25">
      <c r="AK125" s="139"/>
      <c r="AL125" s="129"/>
    </row>
    <row r="126" spans="4:38" hidden="1" x14ac:dyDescent="0.25">
      <c r="AK126" s="139"/>
      <c r="AL126" s="129"/>
    </row>
    <row r="127" spans="4:38" hidden="1" x14ac:dyDescent="0.25">
      <c r="AK127" s="139"/>
      <c r="AL127" s="129"/>
    </row>
    <row r="128" spans="4:38" hidden="1" x14ac:dyDescent="0.25">
      <c r="AK128" s="139"/>
      <c r="AL128" s="129"/>
    </row>
    <row r="129" spans="6:38" hidden="1" x14ac:dyDescent="0.25">
      <c r="AK129" s="139"/>
      <c r="AL129" s="129"/>
    </row>
    <row r="130" spans="6:38" hidden="1" x14ac:dyDescent="0.25">
      <c r="AK130" s="139"/>
      <c r="AL130" s="129"/>
    </row>
    <row r="131" spans="6:38" hidden="1" x14ac:dyDescent="0.25">
      <c r="AK131" s="139"/>
      <c r="AL131" s="129"/>
    </row>
    <row r="132" spans="6:38" hidden="1" x14ac:dyDescent="0.25">
      <c r="AK132" s="139"/>
      <c r="AL132" s="129"/>
    </row>
    <row r="133" spans="6:38" hidden="1" x14ac:dyDescent="0.25">
      <c r="AK133" s="139"/>
      <c r="AL133" s="129"/>
    </row>
    <row r="134" spans="6:38" hidden="1" x14ac:dyDescent="0.25">
      <c r="F134" s="129"/>
      <c r="G134" s="129"/>
      <c r="H134" s="129"/>
      <c r="I134" s="129"/>
      <c r="J134" s="129"/>
      <c r="K134" s="129"/>
      <c r="L134" s="129"/>
      <c r="M134" s="129"/>
      <c r="N134" s="129"/>
      <c r="O134" s="129"/>
      <c r="P134" s="129"/>
      <c r="Q134" s="129"/>
      <c r="R134" s="129"/>
      <c r="S134" s="129"/>
      <c r="T134" s="129"/>
      <c r="U134" s="129"/>
      <c r="V134" s="129"/>
      <c r="W134" s="129"/>
      <c r="X134" s="129"/>
      <c r="Y134" s="129"/>
      <c r="Z134" s="129"/>
      <c r="AA134" s="129"/>
      <c r="AB134" s="129"/>
      <c r="AC134" s="129"/>
      <c r="AD134" s="129"/>
      <c r="AE134" s="129"/>
      <c r="AF134" s="129"/>
      <c r="AG134" s="129"/>
      <c r="AH134" s="129"/>
      <c r="AI134" s="129"/>
      <c r="AK134" s="139"/>
      <c r="AL134" s="129"/>
    </row>
    <row r="135" spans="6:38" hidden="1" x14ac:dyDescent="0.25">
      <c r="F135" s="129"/>
      <c r="G135" s="129"/>
      <c r="H135" s="129"/>
      <c r="I135" s="129"/>
      <c r="J135" s="129"/>
      <c r="K135" s="129"/>
      <c r="L135" s="129"/>
      <c r="M135" s="129"/>
      <c r="N135" s="129"/>
      <c r="O135" s="129"/>
      <c r="P135" s="129"/>
      <c r="Q135" s="129"/>
      <c r="R135" s="129"/>
      <c r="S135" s="129"/>
      <c r="T135" s="129"/>
      <c r="U135" s="129"/>
      <c r="V135" s="129"/>
      <c r="W135" s="129"/>
      <c r="X135" s="129"/>
      <c r="Y135" s="129"/>
      <c r="Z135" s="129"/>
      <c r="AA135" s="129"/>
      <c r="AB135" s="129"/>
      <c r="AC135" s="129"/>
      <c r="AD135" s="129"/>
      <c r="AE135" s="129"/>
      <c r="AF135" s="129"/>
      <c r="AG135" s="129"/>
      <c r="AH135" s="129"/>
      <c r="AI135" s="129"/>
      <c r="AK135" s="139"/>
      <c r="AL135" s="129"/>
    </row>
    <row r="136" spans="6:38" hidden="1" x14ac:dyDescent="0.25">
      <c r="F136" s="129"/>
      <c r="G136" s="129"/>
      <c r="H136" s="129"/>
      <c r="I136" s="129"/>
      <c r="J136" s="129"/>
      <c r="K136" s="129"/>
      <c r="L136" s="129"/>
      <c r="M136" s="129"/>
      <c r="N136" s="129"/>
      <c r="O136" s="129"/>
      <c r="P136" s="129"/>
      <c r="Q136" s="129"/>
      <c r="R136" s="129"/>
      <c r="S136" s="129"/>
      <c r="T136" s="129"/>
      <c r="U136" s="129"/>
      <c r="V136" s="129"/>
      <c r="W136" s="129"/>
      <c r="X136" s="129"/>
      <c r="Y136" s="129"/>
      <c r="Z136" s="129"/>
      <c r="AA136" s="129"/>
      <c r="AB136" s="129"/>
      <c r="AC136" s="129"/>
      <c r="AD136" s="129"/>
      <c r="AE136" s="129"/>
      <c r="AF136" s="129"/>
      <c r="AG136" s="129"/>
      <c r="AH136" s="129"/>
      <c r="AI136" s="129"/>
      <c r="AK136" s="139"/>
      <c r="AL136" s="129"/>
    </row>
    <row r="137" spans="6:38" hidden="1" x14ac:dyDescent="0.25">
      <c r="F137" s="129"/>
      <c r="G137" s="129"/>
      <c r="H137" s="129"/>
      <c r="I137" s="129"/>
      <c r="J137" s="129"/>
      <c r="K137" s="129"/>
      <c r="L137" s="129"/>
      <c r="M137" s="129"/>
      <c r="N137" s="129"/>
      <c r="O137" s="129"/>
      <c r="P137" s="129"/>
      <c r="Q137" s="129"/>
      <c r="R137" s="129"/>
      <c r="S137" s="129"/>
      <c r="T137" s="129"/>
      <c r="U137" s="129"/>
      <c r="V137" s="129"/>
      <c r="W137" s="129"/>
      <c r="X137" s="129"/>
      <c r="Y137" s="129"/>
      <c r="Z137" s="129"/>
      <c r="AA137" s="129"/>
      <c r="AB137" s="129"/>
      <c r="AC137" s="129"/>
      <c r="AD137" s="129"/>
      <c r="AE137" s="129"/>
      <c r="AF137" s="129"/>
      <c r="AG137" s="129"/>
      <c r="AH137" s="129"/>
      <c r="AI137" s="129"/>
      <c r="AK137" s="139"/>
      <c r="AL137" s="129"/>
    </row>
    <row r="138" spans="6:38" hidden="1" x14ac:dyDescent="0.25">
      <c r="F138" s="129"/>
      <c r="G138" s="129"/>
      <c r="H138" s="129"/>
      <c r="I138" s="129"/>
      <c r="J138" s="129"/>
      <c r="K138" s="129"/>
      <c r="L138" s="129"/>
      <c r="M138" s="129"/>
      <c r="N138" s="129"/>
      <c r="O138" s="129"/>
      <c r="P138" s="129"/>
      <c r="Q138" s="129"/>
      <c r="R138" s="129"/>
      <c r="S138" s="129"/>
      <c r="T138" s="129"/>
      <c r="U138" s="129"/>
      <c r="V138" s="129"/>
      <c r="W138" s="129"/>
      <c r="X138" s="129"/>
      <c r="Y138" s="129"/>
      <c r="Z138" s="129"/>
      <c r="AA138" s="129"/>
      <c r="AB138" s="129"/>
      <c r="AC138" s="129"/>
      <c r="AD138" s="129"/>
      <c r="AE138" s="129"/>
      <c r="AF138" s="129"/>
      <c r="AG138" s="129"/>
      <c r="AH138" s="129"/>
      <c r="AI138" s="129"/>
      <c r="AK138" s="139"/>
      <c r="AL138" s="129"/>
    </row>
    <row r="139" spans="6:38" hidden="1" x14ac:dyDescent="0.25">
      <c r="F139" s="129"/>
      <c r="G139" s="129"/>
      <c r="H139" s="129"/>
      <c r="I139" s="129"/>
      <c r="J139" s="129"/>
      <c r="K139" s="129"/>
      <c r="L139" s="129"/>
      <c r="M139" s="129"/>
      <c r="N139" s="129"/>
      <c r="O139" s="129"/>
      <c r="P139" s="129"/>
      <c r="Q139" s="129"/>
      <c r="R139" s="129"/>
      <c r="S139" s="129"/>
      <c r="T139" s="129"/>
      <c r="U139" s="129"/>
      <c r="V139" s="129"/>
      <c r="W139" s="129"/>
      <c r="X139" s="129"/>
      <c r="Y139" s="129"/>
      <c r="Z139" s="129"/>
      <c r="AA139" s="129"/>
      <c r="AB139" s="129"/>
      <c r="AC139" s="129"/>
      <c r="AD139" s="129"/>
      <c r="AE139" s="129"/>
      <c r="AF139" s="129"/>
      <c r="AG139" s="129"/>
      <c r="AH139" s="129"/>
      <c r="AI139" s="129"/>
      <c r="AK139" s="139"/>
      <c r="AL139" s="129"/>
    </row>
    <row r="140" spans="6:38" hidden="1" x14ac:dyDescent="0.25">
      <c r="F140" s="129"/>
      <c r="G140" s="129"/>
      <c r="H140" s="129"/>
      <c r="I140" s="129"/>
      <c r="J140" s="129"/>
      <c r="K140" s="129"/>
      <c r="L140" s="129"/>
      <c r="M140" s="129"/>
      <c r="N140" s="129"/>
      <c r="O140" s="129"/>
      <c r="P140" s="129"/>
      <c r="Q140" s="129"/>
      <c r="R140" s="129"/>
      <c r="S140" s="129"/>
      <c r="T140" s="129"/>
      <c r="U140" s="129"/>
      <c r="V140" s="129"/>
      <c r="W140" s="129"/>
      <c r="X140" s="129"/>
      <c r="Y140" s="129"/>
      <c r="Z140" s="129"/>
      <c r="AA140" s="129"/>
      <c r="AB140" s="129"/>
      <c r="AC140" s="129"/>
      <c r="AD140" s="129"/>
      <c r="AE140" s="129"/>
      <c r="AF140" s="129"/>
      <c r="AG140" s="129"/>
      <c r="AH140" s="129"/>
      <c r="AI140" s="129"/>
      <c r="AK140" s="139"/>
      <c r="AL140" s="129"/>
    </row>
    <row r="141" spans="6:38" hidden="1" x14ac:dyDescent="0.25">
      <c r="F141" s="129"/>
      <c r="G141" s="129"/>
      <c r="H141" s="129"/>
      <c r="I141" s="129"/>
      <c r="J141" s="129"/>
      <c r="K141" s="129"/>
      <c r="L141" s="129"/>
      <c r="M141" s="129"/>
      <c r="N141" s="129"/>
      <c r="O141" s="129"/>
      <c r="P141" s="129"/>
      <c r="Q141" s="129"/>
      <c r="R141" s="129"/>
      <c r="S141" s="129"/>
      <c r="T141" s="129"/>
      <c r="U141" s="129"/>
      <c r="V141" s="129"/>
      <c r="W141" s="129"/>
      <c r="X141" s="129"/>
      <c r="Y141" s="129"/>
      <c r="Z141" s="129"/>
      <c r="AA141" s="129"/>
      <c r="AB141" s="129"/>
      <c r="AC141" s="129"/>
      <c r="AD141" s="129"/>
      <c r="AE141" s="129"/>
      <c r="AF141" s="129"/>
      <c r="AG141" s="129"/>
      <c r="AH141" s="129"/>
      <c r="AI141" s="129"/>
      <c r="AK141" s="139"/>
      <c r="AL141" s="129"/>
    </row>
    <row r="142" spans="6:38" hidden="1" x14ac:dyDescent="0.25">
      <c r="F142" s="129"/>
      <c r="G142" s="129"/>
      <c r="H142" s="129"/>
      <c r="I142" s="129"/>
      <c r="J142" s="129"/>
      <c r="K142" s="129"/>
      <c r="L142" s="129"/>
      <c r="M142" s="129"/>
      <c r="N142" s="129"/>
      <c r="O142" s="129"/>
      <c r="P142" s="129"/>
      <c r="Q142" s="129"/>
      <c r="R142" s="129"/>
      <c r="S142" s="129"/>
      <c r="T142" s="129"/>
      <c r="U142" s="129"/>
      <c r="V142" s="129"/>
      <c r="W142" s="129"/>
      <c r="X142" s="129"/>
      <c r="Y142" s="129"/>
      <c r="Z142" s="129"/>
      <c r="AA142" s="129"/>
      <c r="AB142" s="129"/>
      <c r="AC142" s="129"/>
      <c r="AD142" s="129"/>
      <c r="AE142" s="129"/>
      <c r="AF142" s="129"/>
      <c r="AG142" s="129"/>
      <c r="AH142" s="129"/>
      <c r="AI142" s="129"/>
      <c r="AK142" s="139"/>
      <c r="AL142" s="129"/>
    </row>
    <row r="143" spans="6:38" hidden="1" x14ac:dyDescent="0.25">
      <c r="F143" s="129"/>
      <c r="G143" s="129"/>
      <c r="H143" s="129"/>
      <c r="I143" s="129"/>
      <c r="J143" s="129"/>
      <c r="K143" s="129"/>
      <c r="L143" s="129"/>
      <c r="M143" s="129"/>
      <c r="N143" s="129"/>
      <c r="O143" s="129"/>
      <c r="P143" s="129"/>
      <c r="Q143" s="129"/>
      <c r="R143" s="129"/>
      <c r="S143" s="129"/>
      <c r="T143" s="129"/>
      <c r="U143" s="129"/>
      <c r="V143" s="129"/>
      <c r="W143" s="129"/>
      <c r="X143" s="129"/>
      <c r="Y143" s="129"/>
      <c r="Z143" s="129"/>
      <c r="AA143" s="129"/>
      <c r="AB143" s="129"/>
      <c r="AC143" s="129"/>
      <c r="AD143" s="129"/>
      <c r="AE143" s="129"/>
      <c r="AF143" s="129"/>
      <c r="AG143" s="129"/>
      <c r="AH143" s="129"/>
      <c r="AI143" s="129"/>
      <c r="AK143" s="139"/>
      <c r="AL143" s="129"/>
    </row>
    <row r="144" spans="6:38" hidden="1" x14ac:dyDescent="0.25">
      <c r="F144" s="129"/>
      <c r="G144" s="129"/>
      <c r="H144" s="129"/>
      <c r="I144" s="129"/>
      <c r="J144" s="129"/>
      <c r="K144" s="129"/>
      <c r="L144" s="129"/>
      <c r="M144" s="129"/>
      <c r="N144" s="129"/>
      <c r="O144" s="129"/>
      <c r="P144" s="129"/>
      <c r="Q144" s="129"/>
      <c r="R144" s="129"/>
      <c r="S144" s="129"/>
      <c r="T144" s="129"/>
      <c r="U144" s="129"/>
      <c r="V144" s="129"/>
      <c r="W144" s="129"/>
      <c r="X144" s="129"/>
      <c r="Y144" s="129"/>
      <c r="Z144" s="129"/>
      <c r="AA144" s="129"/>
      <c r="AB144" s="129"/>
      <c r="AC144" s="129"/>
      <c r="AD144" s="129"/>
      <c r="AE144" s="129"/>
      <c r="AF144" s="129"/>
      <c r="AG144" s="129"/>
      <c r="AH144" s="129"/>
      <c r="AI144" s="129"/>
      <c r="AK144" s="139"/>
      <c r="AL144" s="129"/>
    </row>
    <row r="145" spans="6:38" hidden="1" x14ac:dyDescent="0.25">
      <c r="F145" s="129"/>
      <c r="G145" s="129"/>
      <c r="H145" s="129"/>
      <c r="I145" s="129"/>
      <c r="J145" s="129"/>
      <c r="K145" s="129"/>
      <c r="L145" s="129"/>
      <c r="M145" s="129"/>
      <c r="N145" s="129"/>
      <c r="O145" s="129"/>
      <c r="P145" s="129"/>
      <c r="Q145" s="129"/>
      <c r="R145" s="129"/>
      <c r="S145" s="129"/>
      <c r="T145" s="129"/>
      <c r="U145" s="129"/>
      <c r="V145" s="129"/>
      <c r="W145" s="129"/>
      <c r="X145" s="129"/>
      <c r="Y145" s="129"/>
      <c r="Z145" s="129"/>
      <c r="AA145" s="129"/>
      <c r="AB145" s="129"/>
      <c r="AC145" s="129"/>
      <c r="AD145" s="129"/>
      <c r="AE145" s="129"/>
      <c r="AF145" s="129"/>
      <c r="AG145" s="129"/>
      <c r="AH145" s="129"/>
      <c r="AI145" s="129"/>
      <c r="AK145" s="139"/>
      <c r="AL145" s="129"/>
    </row>
    <row r="146" spans="6:38" hidden="1" x14ac:dyDescent="0.25">
      <c r="F146" s="129"/>
      <c r="G146" s="129"/>
      <c r="H146" s="129"/>
      <c r="I146" s="129"/>
      <c r="J146" s="129"/>
      <c r="K146" s="129"/>
      <c r="L146" s="129"/>
      <c r="M146" s="129"/>
      <c r="N146" s="129"/>
      <c r="O146" s="129"/>
      <c r="P146" s="129"/>
      <c r="Q146" s="129"/>
      <c r="R146" s="129"/>
      <c r="S146" s="129"/>
      <c r="T146" s="129"/>
      <c r="U146" s="129"/>
      <c r="V146" s="129"/>
      <c r="W146" s="129"/>
      <c r="X146" s="129"/>
      <c r="Y146" s="129"/>
      <c r="Z146" s="129"/>
      <c r="AA146" s="129"/>
      <c r="AB146" s="129"/>
      <c r="AC146" s="129"/>
      <c r="AD146" s="129"/>
      <c r="AE146" s="129"/>
      <c r="AF146" s="129"/>
      <c r="AG146" s="129"/>
      <c r="AH146" s="129"/>
      <c r="AI146" s="129"/>
      <c r="AK146" s="139"/>
      <c r="AL146" s="129"/>
    </row>
    <row r="147" spans="6:38" hidden="1" x14ac:dyDescent="0.25">
      <c r="F147" s="129"/>
      <c r="G147" s="129"/>
      <c r="H147" s="129"/>
      <c r="I147" s="129"/>
      <c r="J147" s="129"/>
      <c r="K147" s="129"/>
      <c r="L147" s="129"/>
      <c r="M147" s="129"/>
      <c r="N147" s="129"/>
      <c r="O147" s="129"/>
      <c r="P147" s="129"/>
      <c r="Q147" s="129"/>
      <c r="R147" s="129"/>
      <c r="S147" s="129"/>
      <c r="T147" s="129"/>
      <c r="U147" s="129"/>
      <c r="V147" s="129"/>
      <c r="W147" s="129"/>
      <c r="X147" s="129"/>
      <c r="Y147" s="129"/>
      <c r="Z147" s="129"/>
      <c r="AA147" s="129"/>
      <c r="AB147" s="129"/>
      <c r="AC147" s="129"/>
      <c r="AD147" s="129"/>
      <c r="AE147" s="129"/>
      <c r="AF147" s="129"/>
      <c r="AG147" s="129"/>
      <c r="AH147" s="129"/>
      <c r="AI147" s="129"/>
      <c r="AK147" s="139"/>
      <c r="AL147" s="129"/>
    </row>
    <row r="148" spans="6:38" hidden="1" x14ac:dyDescent="0.25">
      <c r="F148" s="129"/>
      <c r="G148" s="129"/>
      <c r="H148" s="129"/>
      <c r="I148" s="129"/>
      <c r="J148" s="129"/>
      <c r="K148" s="129"/>
      <c r="L148" s="129"/>
      <c r="M148" s="129"/>
      <c r="N148" s="129"/>
      <c r="O148" s="129"/>
      <c r="P148" s="129"/>
      <c r="Q148" s="129"/>
      <c r="R148" s="129"/>
      <c r="S148" s="129"/>
      <c r="T148" s="129"/>
      <c r="U148" s="129"/>
      <c r="V148" s="129"/>
      <c r="W148" s="129"/>
      <c r="X148" s="129"/>
      <c r="Y148" s="129"/>
      <c r="Z148" s="129"/>
      <c r="AA148" s="129"/>
      <c r="AB148" s="129"/>
      <c r="AC148" s="129"/>
      <c r="AD148" s="129"/>
      <c r="AE148" s="129"/>
      <c r="AF148" s="129"/>
      <c r="AG148" s="129"/>
      <c r="AH148" s="129"/>
      <c r="AI148" s="129"/>
      <c r="AK148" s="139"/>
      <c r="AL148" s="129"/>
    </row>
    <row r="149" spans="6:38" hidden="1" x14ac:dyDescent="0.25">
      <c r="F149" s="129"/>
      <c r="G149" s="129"/>
      <c r="H149" s="129"/>
      <c r="I149" s="129"/>
      <c r="J149" s="129"/>
      <c r="K149" s="129"/>
      <c r="L149" s="129"/>
      <c r="M149" s="129"/>
      <c r="N149" s="129"/>
      <c r="O149" s="129"/>
      <c r="P149" s="129"/>
      <c r="Q149" s="129"/>
      <c r="R149" s="129"/>
      <c r="S149" s="129"/>
      <c r="T149" s="129"/>
      <c r="U149" s="129"/>
      <c r="V149" s="129"/>
      <c r="W149" s="129"/>
      <c r="X149" s="129"/>
      <c r="Y149" s="129"/>
      <c r="Z149" s="129"/>
      <c r="AA149" s="129"/>
      <c r="AB149" s="129"/>
      <c r="AC149" s="129"/>
      <c r="AD149" s="129"/>
      <c r="AE149" s="129"/>
      <c r="AF149" s="129"/>
      <c r="AG149" s="129"/>
      <c r="AH149" s="129"/>
      <c r="AI149" s="129"/>
      <c r="AK149" s="139"/>
      <c r="AL149" s="129"/>
    </row>
    <row r="150" spans="6:38" hidden="1" x14ac:dyDescent="0.25">
      <c r="F150" s="129"/>
      <c r="G150" s="129"/>
      <c r="H150" s="129"/>
      <c r="I150" s="129"/>
      <c r="J150" s="129"/>
      <c r="K150" s="129"/>
      <c r="L150" s="129"/>
      <c r="M150" s="129"/>
      <c r="N150" s="129"/>
      <c r="O150" s="129"/>
      <c r="P150" s="129"/>
      <c r="Q150" s="129"/>
      <c r="R150" s="129"/>
      <c r="S150" s="129"/>
      <c r="T150" s="129"/>
      <c r="U150" s="129"/>
      <c r="V150" s="129"/>
      <c r="W150" s="129"/>
      <c r="X150" s="129"/>
      <c r="Y150" s="129"/>
      <c r="Z150" s="129"/>
      <c r="AA150" s="129"/>
      <c r="AB150" s="129"/>
      <c r="AC150" s="129"/>
      <c r="AD150" s="129"/>
      <c r="AE150" s="129"/>
      <c r="AF150" s="129"/>
      <c r="AG150" s="129"/>
      <c r="AH150" s="129"/>
      <c r="AI150" s="129"/>
      <c r="AK150" s="139"/>
      <c r="AL150" s="129"/>
    </row>
    <row r="151" spans="6:38" hidden="1" x14ac:dyDescent="0.25">
      <c r="F151" s="129"/>
      <c r="G151" s="129"/>
      <c r="H151" s="129"/>
      <c r="I151" s="129"/>
      <c r="J151" s="129"/>
      <c r="K151" s="129"/>
      <c r="L151" s="129"/>
      <c r="M151" s="129"/>
      <c r="N151" s="129"/>
      <c r="O151" s="129"/>
      <c r="P151" s="129"/>
      <c r="Q151" s="129"/>
      <c r="R151" s="129"/>
      <c r="S151" s="129"/>
      <c r="T151" s="129"/>
      <c r="U151" s="129"/>
      <c r="V151" s="129"/>
      <c r="W151" s="129"/>
      <c r="X151" s="129"/>
      <c r="Y151" s="129"/>
      <c r="Z151" s="129"/>
      <c r="AA151" s="129"/>
      <c r="AB151" s="129"/>
      <c r="AC151" s="129"/>
      <c r="AD151" s="129"/>
      <c r="AE151" s="129"/>
      <c r="AF151" s="129"/>
      <c r="AG151" s="129"/>
      <c r="AH151" s="129"/>
      <c r="AI151" s="129"/>
      <c r="AK151" s="139"/>
      <c r="AL151" s="129"/>
    </row>
    <row r="152" spans="6:38" hidden="1" x14ac:dyDescent="0.25">
      <c r="F152" s="129"/>
      <c r="G152" s="129"/>
      <c r="H152" s="129"/>
      <c r="I152" s="129"/>
      <c r="J152" s="129"/>
      <c r="K152" s="129"/>
      <c r="L152" s="129"/>
      <c r="M152" s="129"/>
      <c r="N152" s="129"/>
      <c r="O152" s="129"/>
      <c r="P152" s="129"/>
      <c r="Q152" s="129"/>
      <c r="R152" s="129"/>
      <c r="S152" s="129"/>
      <c r="T152" s="129"/>
      <c r="U152" s="129"/>
      <c r="V152" s="129"/>
      <c r="W152" s="129"/>
      <c r="X152" s="129"/>
      <c r="Y152" s="129"/>
      <c r="Z152" s="129"/>
      <c r="AA152" s="129"/>
      <c r="AB152" s="129"/>
      <c r="AC152" s="129"/>
      <c r="AD152" s="129"/>
      <c r="AE152" s="129"/>
      <c r="AF152" s="129"/>
      <c r="AG152" s="129"/>
      <c r="AH152" s="129"/>
      <c r="AI152" s="129"/>
      <c r="AK152" s="139"/>
      <c r="AL152" s="129"/>
    </row>
    <row r="153" spans="6:38" hidden="1" x14ac:dyDescent="0.25">
      <c r="F153" s="129"/>
      <c r="G153" s="129"/>
      <c r="H153" s="129"/>
      <c r="I153" s="129"/>
      <c r="J153" s="129"/>
      <c r="K153" s="129"/>
      <c r="L153" s="129"/>
      <c r="M153" s="129"/>
      <c r="N153" s="129"/>
      <c r="O153" s="129"/>
      <c r="P153" s="129"/>
      <c r="Q153" s="129"/>
      <c r="R153" s="129"/>
      <c r="S153" s="129"/>
      <c r="T153" s="129"/>
      <c r="U153" s="129"/>
      <c r="V153" s="129"/>
      <c r="W153" s="129"/>
      <c r="X153" s="129"/>
      <c r="Y153" s="129"/>
      <c r="Z153" s="129"/>
      <c r="AA153" s="129"/>
      <c r="AB153" s="129"/>
      <c r="AC153" s="129"/>
      <c r="AD153" s="129"/>
      <c r="AE153" s="129"/>
      <c r="AF153" s="129"/>
      <c r="AG153" s="129"/>
      <c r="AH153" s="129"/>
      <c r="AI153" s="129"/>
      <c r="AK153" s="139"/>
      <c r="AL153" s="129"/>
    </row>
    <row r="154" spans="6:38" hidden="1" x14ac:dyDescent="0.25">
      <c r="F154" s="129"/>
      <c r="G154" s="129"/>
      <c r="H154" s="129"/>
      <c r="I154" s="129"/>
      <c r="J154" s="129"/>
      <c r="K154" s="129"/>
      <c r="L154" s="129"/>
      <c r="M154" s="129"/>
      <c r="N154" s="129"/>
      <c r="O154" s="129"/>
      <c r="P154" s="129"/>
      <c r="Q154" s="129"/>
      <c r="R154" s="129"/>
      <c r="S154" s="129"/>
      <c r="T154" s="129"/>
      <c r="U154" s="129"/>
      <c r="V154" s="129"/>
      <c r="W154" s="129"/>
      <c r="X154" s="129"/>
      <c r="Y154" s="129"/>
      <c r="Z154" s="129"/>
      <c r="AA154" s="129"/>
      <c r="AB154" s="129"/>
      <c r="AC154" s="129"/>
      <c r="AD154" s="129"/>
      <c r="AE154" s="129"/>
      <c r="AF154" s="129"/>
      <c r="AG154" s="129"/>
      <c r="AH154" s="129"/>
      <c r="AI154" s="129"/>
      <c r="AK154" s="139"/>
      <c r="AL154" s="129"/>
    </row>
    <row r="155" spans="6:38" hidden="1" x14ac:dyDescent="0.25">
      <c r="F155" s="129"/>
      <c r="G155" s="129"/>
      <c r="H155" s="129"/>
      <c r="I155" s="129"/>
      <c r="J155" s="129"/>
      <c r="K155" s="129"/>
      <c r="L155" s="129"/>
      <c r="M155" s="129"/>
      <c r="N155" s="129"/>
      <c r="O155" s="129"/>
      <c r="P155" s="129"/>
      <c r="Q155" s="129"/>
      <c r="R155" s="129"/>
      <c r="S155" s="129"/>
      <c r="T155" s="129"/>
      <c r="U155" s="129"/>
      <c r="V155" s="129"/>
      <c r="W155" s="129"/>
      <c r="X155" s="129"/>
      <c r="Y155" s="129"/>
      <c r="Z155" s="129"/>
      <c r="AA155" s="129"/>
      <c r="AB155" s="129"/>
      <c r="AC155" s="129"/>
      <c r="AD155" s="129"/>
      <c r="AE155" s="129"/>
      <c r="AF155" s="129"/>
      <c r="AG155" s="129"/>
      <c r="AH155" s="129"/>
      <c r="AI155" s="129"/>
      <c r="AK155" s="139"/>
      <c r="AL155" s="129"/>
    </row>
    <row r="156" spans="6:38" hidden="1" x14ac:dyDescent="0.25">
      <c r="F156" s="129"/>
      <c r="G156" s="129"/>
      <c r="H156" s="129"/>
      <c r="I156" s="129"/>
      <c r="J156" s="129"/>
      <c r="K156" s="129"/>
      <c r="L156" s="129"/>
      <c r="M156" s="129"/>
      <c r="N156" s="129"/>
      <c r="O156" s="129"/>
      <c r="P156" s="129"/>
      <c r="Q156" s="129"/>
      <c r="R156" s="129"/>
      <c r="S156" s="129"/>
      <c r="T156" s="129"/>
      <c r="U156" s="129"/>
      <c r="V156" s="129"/>
      <c r="W156" s="129"/>
      <c r="X156" s="129"/>
      <c r="Y156" s="129"/>
      <c r="Z156" s="129"/>
      <c r="AA156" s="129"/>
      <c r="AB156" s="129"/>
      <c r="AC156" s="129"/>
      <c r="AD156" s="129"/>
      <c r="AE156" s="129"/>
      <c r="AF156" s="129"/>
      <c r="AG156" s="129"/>
      <c r="AH156" s="129"/>
      <c r="AI156" s="129"/>
      <c r="AK156" s="139"/>
      <c r="AL156" s="129"/>
    </row>
    <row r="157" spans="6:38" hidden="1" x14ac:dyDescent="0.25">
      <c r="F157" s="129"/>
      <c r="G157" s="129"/>
      <c r="H157" s="129"/>
      <c r="I157" s="129"/>
      <c r="J157" s="129"/>
      <c r="K157" s="129"/>
      <c r="L157" s="129"/>
      <c r="M157" s="129"/>
      <c r="N157" s="129"/>
      <c r="O157" s="129"/>
      <c r="P157" s="129"/>
      <c r="Q157" s="129"/>
      <c r="R157" s="129"/>
      <c r="S157" s="129"/>
      <c r="T157" s="129"/>
      <c r="U157" s="129"/>
      <c r="V157" s="129"/>
      <c r="W157" s="129"/>
      <c r="X157" s="129"/>
      <c r="Y157" s="129"/>
      <c r="Z157" s="129"/>
      <c r="AA157" s="129"/>
      <c r="AB157" s="129"/>
      <c r="AC157" s="129"/>
      <c r="AD157" s="129"/>
      <c r="AE157" s="129"/>
      <c r="AF157" s="129"/>
      <c r="AG157" s="129"/>
      <c r="AH157" s="129"/>
      <c r="AI157" s="129"/>
      <c r="AK157" s="139"/>
      <c r="AL157" s="129"/>
    </row>
    <row r="158" spans="6:38" hidden="1" x14ac:dyDescent="0.25">
      <c r="F158" s="129"/>
      <c r="G158" s="129"/>
      <c r="H158" s="129"/>
      <c r="I158" s="129"/>
      <c r="J158" s="129"/>
      <c r="K158" s="129"/>
      <c r="L158" s="129"/>
      <c r="M158" s="129"/>
      <c r="N158" s="129"/>
      <c r="O158" s="129"/>
      <c r="P158" s="129"/>
      <c r="Q158" s="129"/>
      <c r="R158" s="129"/>
      <c r="S158" s="129"/>
      <c r="T158" s="129"/>
      <c r="U158" s="129"/>
      <c r="V158" s="129"/>
      <c r="W158" s="129"/>
      <c r="X158" s="129"/>
      <c r="Y158" s="129"/>
      <c r="Z158" s="129"/>
      <c r="AA158" s="129"/>
      <c r="AB158" s="129"/>
      <c r="AC158" s="129"/>
      <c r="AD158" s="129"/>
      <c r="AE158" s="129"/>
      <c r="AF158" s="129"/>
      <c r="AG158" s="129"/>
      <c r="AH158" s="129"/>
      <c r="AI158" s="129"/>
      <c r="AK158" s="139"/>
      <c r="AL158" s="129"/>
    </row>
    <row r="159" spans="6:38" hidden="1" x14ac:dyDescent="0.25">
      <c r="F159" s="129"/>
      <c r="G159" s="129"/>
      <c r="H159" s="129"/>
      <c r="I159" s="129"/>
      <c r="J159" s="129"/>
      <c r="K159" s="129"/>
      <c r="L159" s="129"/>
      <c r="M159" s="129"/>
      <c r="N159" s="129"/>
      <c r="O159" s="129"/>
      <c r="P159" s="129"/>
      <c r="Q159" s="129"/>
      <c r="R159" s="129"/>
      <c r="S159" s="129"/>
      <c r="T159" s="129"/>
      <c r="U159" s="129"/>
      <c r="V159" s="129"/>
      <c r="W159" s="129"/>
      <c r="X159" s="129"/>
      <c r="Y159" s="129"/>
      <c r="Z159" s="129"/>
      <c r="AA159" s="129"/>
      <c r="AB159" s="129"/>
      <c r="AC159" s="129"/>
      <c r="AD159" s="129"/>
      <c r="AE159" s="129"/>
      <c r="AF159" s="129"/>
      <c r="AG159" s="129"/>
      <c r="AH159" s="129"/>
      <c r="AI159" s="129"/>
      <c r="AK159" s="139"/>
      <c r="AL159" s="129"/>
    </row>
    <row r="160" spans="6:38" hidden="1" x14ac:dyDescent="0.25">
      <c r="F160" s="129"/>
      <c r="G160" s="129"/>
      <c r="H160" s="129"/>
      <c r="I160" s="129"/>
      <c r="J160" s="129"/>
      <c r="K160" s="129"/>
      <c r="L160" s="129"/>
      <c r="M160" s="129"/>
      <c r="N160" s="129"/>
      <c r="O160" s="129"/>
      <c r="P160" s="129"/>
      <c r="Q160" s="129"/>
      <c r="R160" s="129"/>
      <c r="S160" s="129"/>
      <c r="T160" s="129"/>
      <c r="U160" s="129"/>
      <c r="V160" s="129"/>
      <c r="W160" s="129"/>
      <c r="X160" s="129"/>
      <c r="Y160" s="129"/>
      <c r="Z160" s="129"/>
      <c r="AA160" s="129"/>
      <c r="AB160" s="129"/>
      <c r="AC160" s="129"/>
      <c r="AD160" s="129"/>
      <c r="AE160" s="129"/>
      <c r="AF160" s="129"/>
      <c r="AG160" s="129"/>
      <c r="AH160" s="129"/>
      <c r="AI160" s="129"/>
      <c r="AK160" s="139"/>
      <c r="AL160" s="129"/>
    </row>
    <row r="161" spans="6:38" hidden="1" x14ac:dyDescent="0.25">
      <c r="F161" s="129"/>
      <c r="G161" s="129"/>
      <c r="H161" s="129"/>
      <c r="I161" s="129"/>
      <c r="J161" s="129"/>
      <c r="K161" s="129"/>
      <c r="L161" s="129"/>
      <c r="M161" s="129"/>
      <c r="N161" s="129"/>
      <c r="O161" s="129"/>
      <c r="P161" s="129"/>
      <c r="Q161" s="129"/>
      <c r="R161" s="129"/>
      <c r="S161" s="129"/>
      <c r="T161" s="129"/>
      <c r="U161" s="129"/>
      <c r="V161" s="129"/>
      <c r="W161" s="129"/>
      <c r="X161" s="129"/>
      <c r="Y161" s="129"/>
      <c r="Z161" s="129"/>
      <c r="AA161" s="129"/>
      <c r="AB161" s="129"/>
      <c r="AC161" s="129"/>
      <c r="AD161" s="129"/>
      <c r="AE161" s="129"/>
      <c r="AF161" s="129"/>
      <c r="AG161" s="129"/>
      <c r="AH161" s="129"/>
      <c r="AI161" s="129"/>
      <c r="AK161" s="139"/>
      <c r="AL161" s="129"/>
    </row>
    <row r="162" spans="6:38" hidden="1" x14ac:dyDescent="0.25">
      <c r="F162" s="129"/>
      <c r="G162" s="129"/>
      <c r="H162" s="129"/>
      <c r="I162" s="129"/>
      <c r="J162" s="129"/>
      <c r="K162" s="129"/>
      <c r="L162" s="129"/>
      <c r="M162" s="129"/>
      <c r="N162" s="129"/>
      <c r="O162" s="129"/>
      <c r="P162" s="129"/>
      <c r="Q162" s="129"/>
      <c r="R162" s="129"/>
      <c r="S162" s="129"/>
      <c r="T162" s="129"/>
      <c r="U162" s="129"/>
      <c r="V162" s="129"/>
      <c r="W162" s="129"/>
      <c r="X162" s="129"/>
      <c r="Y162" s="129"/>
      <c r="Z162" s="129"/>
      <c r="AA162" s="129"/>
      <c r="AB162" s="129"/>
      <c r="AC162" s="129"/>
      <c r="AD162" s="129"/>
      <c r="AE162" s="129"/>
      <c r="AF162" s="129"/>
      <c r="AG162" s="129"/>
      <c r="AH162" s="129"/>
      <c r="AI162" s="129"/>
      <c r="AK162" s="139"/>
      <c r="AL162" s="129"/>
    </row>
    <row r="163" spans="6:38" hidden="1" x14ac:dyDescent="0.25">
      <c r="F163" s="129"/>
      <c r="G163" s="129"/>
      <c r="H163" s="129"/>
      <c r="I163" s="129"/>
      <c r="J163" s="129"/>
      <c r="K163" s="129"/>
      <c r="L163" s="129"/>
      <c r="M163" s="129"/>
      <c r="N163" s="129"/>
      <c r="O163" s="129"/>
      <c r="P163" s="129"/>
      <c r="Q163" s="129"/>
      <c r="R163" s="129"/>
      <c r="S163" s="129"/>
      <c r="T163" s="129"/>
      <c r="U163" s="129"/>
      <c r="V163" s="129"/>
      <c r="W163" s="129"/>
      <c r="X163" s="129"/>
      <c r="Y163" s="129"/>
      <c r="Z163" s="129"/>
      <c r="AA163" s="129"/>
      <c r="AB163" s="129"/>
      <c r="AC163" s="129"/>
      <c r="AD163" s="129"/>
      <c r="AE163" s="129"/>
      <c r="AF163" s="129"/>
      <c r="AG163" s="129"/>
      <c r="AH163" s="129"/>
      <c r="AI163" s="129"/>
      <c r="AK163" s="139"/>
      <c r="AL163" s="129"/>
    </row>
    <row r="164" spans="6:38" hidden="1" x14ac:dyDescent="0.25">
      <c r="F164" s="129"/>
      <c r="G164" s="129"/>
      <c r="H164" s="129"/>
      <c r="I164" s="129"/>
      <c r="J164" s="129"/>
      <c r="K164" s="129"/>
      <c r="L164" s="129"/>
      <c r="M164" s="129"/>
      <c r="N164" s="129"/>
      <c r="O164" s="129"/>
      <c r="P164" s="129"/>
      <c r="Q164" s="129"/>
      <c r="R164" s="129"/>
      <c r="S164" s="129"/>
      <c r="T164" s="129"/>
      <c r="U164" s="129"/>
      <c r="V164" s="129"/>
      <c r="W164" s="129"/>
      <c r="X164" s="129"/>
      <c r="Y164" s="129"/>
      <c r="Z164" s="129"/>
      <c r="AA164" s="129"/>
      <c r="AB164" s="129"/>
      <c r="AC164" s="129"/>
      <c r="AD164" s="129"/>
      <c r="AE164" s="129"/>
      <c r="AF164" s="129"/>
      <c r="AG164" s="129"/>
      <c r="AH164" s="129"/>
      <c r="AI164" s="129"/>
      <c r="AK164" s="139"/>
      <c r="AL164" s="129"/>
    </row>
    <row r="165" spans="6:38" hidden="1" x14ac:dyDescent="0.25">
      <c r="F165" s="129"/>
      <c r="G165" s="129"/>
      <c r="H165" s="129"/>
      <c r="I165" s="129"/>
      <c r="J165" s="129"/>
      <c r="K165" s="129"/>
      <c r="L165" s="129"/>
      <c r="M165" s="129"/>
      <c r="N165" s="129"/>
      <c r="O165" s="129"/>
      <c r="P165" s="129"/>
      <c r="Q165" s="129"/>
      <c r="R165" s="129"/>
      <c r="S165" s="129"/>
      <c r="T165" s="129"/>
      <c r="U165" s="129"/>
      <c r="V165" s="129"/>
      <c r="W165" s="129"/>
      <c r="X165" s="129"/>
      <c r="Y165" s="129"/>
      <c r="Z165" s="129"/>
      <c r="AA165" s="129"/>
      <c r="AB165" s="129"/>
      <c r="AC165" s="129"/>
      <c r="AD165" s="129"/>
      <c r="AE165" s="129"/>
      <c r="AF165" s="129"/>
      <c r="AG165" s="129"/>
      <c r="AH165" s="129"/>
      <c r="AI165" s="129"/>
      <c r="AK165" s="139"/>
      <c r="AL165" s="129"/>
    </row>
    <row r="166" spans="6:38" hidden="1" x14ac:dyDescent="0.25">
      <c r="F166" s="129"/>
      <c r="G166" s="129"/>
      <c r="H166" s="129"/>
      <c r="I166" s="129"/>
      <c r="J166" s="129"/>
      <c r="K166" s="129"/>
      <c r="L166" s="129"/>
      <c r="M166" s="129"/>
      <c r="N166" s="129"/>
      <c r="O166" s="129"/>
      <c r="P166" s="129"/>
      <c r="Q166" s="129"/>
      <c r="R166" s="129"/>
      <c r="S166" s="129"/>
      <c r="T166" s="129"/>
      <c r="U166" s="129"/>
      <c r="V166" s="129"/>
      <c r="W166" s="129"/>
      <c r="X166" s="129"/>
      <c r="Y166" s="129"/>
      <c r="Z166" s="129"/>
      <c r="AA166" s="129"/>
      <c r="AB166" s="129"/>
      <c r="AC166" s="129"/>
      <c r="AD166" s="129"/>
      <c r="AE166" s="129"/>
      <c r="AF166" s="129"/>
      <c r="AG166" s="129"/>
      <c r="AH166" s="129"/>
      <c r="AI166" s="129"/>
      <c r="AK166" s="139"/>
      <c r="AL166" s="129"/>
    </row>
    <row r="167" spans="6:38" hidden="1" x14ac:dyDescent="0.25">
      <c r="F167" s="129"/>
      <c r="G167" s="129"/>
      <c r="H167" s="129"/>
      <c r="I167" s="129"/>
      <c r="J167" s="129"/>
      <c r="K167" s="129"/>
      <c r="L167" s="129"/>
      <c r="M167" s="129"/>
      <c r="N167" s="129"/>
      <c r="O167" s="129"/>
      <c r="P167" s="129"/>
      <c r="Q167" s="129"/>
      <c r="R167" s="129"/>
      <c r="S167" s="129"/>
      <c r="T167" s="129"/>
      <c r="U167" s="129"/>
      <c r="V167" s="129"/>
      <c r="W167" s="129"/>
      <c r="X167" s="129"/>
      <c r="Y167" s="129"/>
      <c r="Z167" s="129"/>
      <c r="AA167" s="129"/>
      <c r="AB167" s="129"/>
      <c r="AC167" s="129"/>
      <c r="AD167" s="129"/>
      <c r="AE167" s="129"/>
      <c r="AF167" s="129"/>
      <c r="AG167" s="129"/>
      <c r="AH167" s="129"/>
      <c r="AI167" s="129"/>
      <c r="AK167" s="139"/>
      <c r="AL167" s="129"/>
    </row>
    <row r="168" spans="6:38" hidden="1" x14ac:dyDescent="0.25">
      <c r="F168" s="129"/>
      <c r="G168" s="129"/>
      <c r="H168" s="129"/>
      <c r="I168" s="129"/>
      <c r="J168" s="129"/>
      <c r="K168" s="129"/>
      <c r="L168" s="129"/>
      <c r="M168" s="129"/>
      <c r="N168" s="129"/>
      <c r="O168" s="129"/>
      <c r="P168" s="129"/>
      <c r="Q168" s="129"/>
      <c r="R168" s="129"/>
      <c r="S168" s="129"/>
      <c r="T168" s="129"/>
      <c r="U168" s="129"/>
      <c r="V168" s="129"/>
      <c r="W168" s="129"/>
      <c r="X168" s="129"/>
      <c r="Y168" s="129"/>
      <c r="Z168" s="129"/>
      <c r="AA168" s="129"/>
      <c r="AB168" s="129"/>
      <c r="AC168" s="129"/>
      <c r="AD168" s="129"/>
      <c r="AE168" s="129"/>
      <c r="AF168" s="129"/>
      <c r="AG168" s="129"/>
      <c r="AH168" s="129"/>
      <c r="AI168" s="129"/>
      <c r="AK168" s="139"/>
      <c r="AL168" s="129"/>
    </row>
    <row r="169" spans="6:38" hidden="1" x14ac:dyDescent="0.25">
      <c r="F169" s="129"/>
      <c r="G169" s="129"/>
      <c r="H169" s="129"/>
      <c r="I169" s="129"/>
      <c r="J169" s="129"/>
      <c r="K169" s="129"/>
      <c r="L169" s="129"/>
      <c r="M169" s="129"/>
      <c r="N169" s="129"/>
      <c r="O169" s="129"/>
      <c r="P169" s="129"/>
      <c r="Q169" s="129"/>
      <c r="R169" s="129"/>
      <c r="S169" s="129"/>
      <c r="T169" s="129"/>
      <c r="U169" s="129"/>
      <c r="V169" s="129"/>
      <c r="W169" s="129"/>
      <c r="X169" s="129"/>
      <c r="Y169" s="129"/>
      <c r="Z169" s="129"/>
      <c r="AA169" s="129"/>
      <c r="AB169" s="129"/>
      <c r="AC169" s="129"/>
      <c r="AD169" s="129"/>
      <c r="AE169" s="129"/>
      <c r="AF169" s="129"/>
      <c r="AG169" s="129"/>
      <c r="AH169" s="129"/>
      <c r="AI169" s="129"/>
      <c r="AK169" s="139"/>
      <c r="AL169" s="129"/>
    </row>
    <row r="170" spans="6:38" hidden="1" x14ac:dyDescent="0.25">
      <c r="F170" s="129"/>
      <c r="G170" s="129"/>
      <c r="H170" s="129"/>
      <c r="I170" s="129"/>
      <c r="J170" s="129"/>
      <c r="K170" s="129"/>
      <c r="L170" s="129"/>
      <c r="M170" s="129"/>
      <c r="N170" s="129"/>
      <c r="O170" s="129"/>
      <c r="P170" s="129"/>
      <c r="Q170" s="129"/>
      <c r="R170" s="129"/>
      <c r="S170" s="129"/>
      <c r="T170" s="129"/>
      <c r="U170" s="129"/>
      <c r="V170" s="129"/>
      <c r="W170" s="129"/>
      <c r="X170" s="129"/>
      <c r="Y170" s="129"/>
      <c r="Z170" s="129"/>
      <c r="AA170" s="129"/>
      <c r="AB170" s="129"/>
      <c r="AC170" s="129"/>
      <c r="AD170" s="129"/>
      <c r="AE170" s="129"/>
      <c r="AF170" s="129"/>
      <c r="AG170" s="129"/>
      <c r="AH170" s="129"/>
      <c r="AI170" s="129"/>
      <c r="AK170" s="139"/>
      <c r="AL170" s="129"/>
    </row>
    <row r="171" spans="6:38" hidden="1" x14ac:dyDescent="0.25">
      <c r="F171" s="129"/>
      <c r="G171" s="129"/>
      <c r="H171" s="129"/>
      <c r="I171" s="129"/>
      <c r="J171" s="129"/>
      <c r="K171" s="129"/>
      <c r="L171" s="129"/>
      <c r="M171" s="129"/>
      <c r="N171" s="129"/>
      <c r="O171" s="129"/>
      <c r="P171" s="129"/>
      <c r="Q171" s="129"/>
      <c r="R171" s="129"/>
      <c r="S171" s="129"/>
      <c r="T171" s="129"/>
      <c r="U171" s="129"/>
      <c r="V171" s="129"/>
      <c r="W171" s="129"/>
      <c r="X171" s="129"/>
      <c r="Y171" s="129"/>
      <c r="Z171" s="129"/>
      <c r="AA171" s="129"/>
      <c r="AB171" s="129"/>
      <c r="AC171" s="129"/>
      <c r="AD171" s="129"/>
      <c r="AE171" s="129"/>
      <c r="AF171" s="129"/>
      <c r="AG171" s="129"/>
      <c r="AH171" s="129"/>
      <c r="AI171" s="129"/>
      <c r="AK171" s="139"/>
      <c r="AL171" s="129"/>
    </row>
    <row r="172" spans="6:38" hidden="1" x14ac:dyDescent="0.25">
      <c r="F172" s="129"/>
      <c r="G172" s="129"/>
      <c r="H172" s="129"/>
      <c r="I172" s="129"/>
      <c r="J172" s="129"/>
      <c r="K172" s="129"/>
      <c r="L172" s="129"/>
      <c r="M172" s="129"/>
      <c r="N172" s="129"/>
      <c r="O172" s="129"/>
      <c r="P172" s="129"/>
      <c r="Q172" s="129"/>
      <c r="R172" s="129"/>
      <c r="S172" s="129"/>
      <c r="T172" s="129"/>
      <c r="U172" s="129"/>
      <c r="V172" s="129"/>
      <c r="W172" s="129"/>
      <c r="X172" s="129"/>
      <c r="Y172" s="129"/>
      <c r="Z172" s="129"/>
      <c r="AA172" s="129"/>
      <c r="AB172" s="129"/>
      <c r="AC172" s="129"/>
      <c r="AD172" s="129"/>
      <c r="AE172" s="129"/>
      <c r="AF172" s="129"/>
      <c r="AG172" s="129"/>
      <c r="AH172" s="129"/>
      <c r="AI172" s="129"/>
      <c r="AK172" s="139"/>
      <c r="AL172" s="129"/>
    </row>
    <row r="173" spans="6:38" hidden="1" x14ac:dyDescent="0.25">
      <c r="F173" s="129"/>
      <c r="G173" s="129"/>
      <c r="H173" s="129"/>
      <c r="I173" s="129"/>
      <c r="J173" s="129"/>
      <c r="K173" s="129"/>
      <c r="L173" s="129"/>
      <c r="M173" s="129"/>
      <c r="N173" s="129"/>
      <c r="O173" s="129"/>
      <c r="P173" s="129"/>
      <c r="Q173" s="129"/>
      <c r="R173" s="129"/>
      <c r="S173" s="129"/>
      <c r="T173" s="129"/>
      <c r="U173" s="129"/>
      <c r="V173" s="129"/>
      <c r="W173" s="129"/>
      <c r="X173" s="129"/>
      <c r="Y173" s="129"/>
      <c r="Z173" s="129"/>
      <c r="AA173" s="129"/>
      <c r="AB173" s="129"/>
      <c r="AC173" s="129"/>
      <c r="AD173" s="129"/>
      <c r="AE173" s="129"/>
      <c r="AF173" s="129"/>
      <c r="AG173" s="129"/>
      <c r="AH173" s="129"/>
      <c r="AI173" s="129"/>
      <c r="AK173" s="139"/>
      <c r="AL173" s="129"/>
    </row>
    <row r="174" spans="6:38" hidden="1" x14ac:dyDescent="0.25">
      <c r="F174" s="129"/>
      <c r="G174" s="129"/>
      <c r="H174" s="129"/>
      <c r="I174" s="129"/>
      <c r="J174" s="129"/>
      <c r="K174" s="129"/>
      <c r="L174" s="129"/>
      <c r="M174" s="129"/>
      <c r="N174" s="129"/>
      <c r="O174" s="129"/>
      <c r="P174" s="129"/>
      <c r="Q174" s="129"/>
      <c r="R174" s="129"/>
      <c r="S174" s="129"/>
      <c r="T174" s="129"/>
      <c r="U174" s="129"/>
      <c r="V174" s="129"/>
      <c r="W174" s="129"/>
      <c r="X174" s="129"/>
      <c r="Y174" s="129"/>
      <c r="Z174" s="129"/>
      <c r="AA174" s="129"/>
      <c r="AB174" s="129"/>
      <c r="AC174" s="129"/>
      <c r="AD174" s="129"/>
      <c r="AE174" s="129"/>
      <c r="AF174" s="129"/>
      <c r="AG174" s="129"/>
      <c r="AH174" s="129"/>
      <c r="AI174" s="129"/>
      <c r="AK174" s="139"/>
      <c r="AL174" s="129"/>
    </row>
    <row r="175" spans="6:38" hidden="1" x14ac:dyDescent="0.25">
      <c r="F175" s="129"/>
      <c r="G175" s="129"/>
      <c r="H175" s="129"/>
      <c r="I175" s="129"/>
      <c r="J175" s="129"/>
      <c r="K175" s="129"/>
      <c r="L175" s="129"/>
      <c r="M175" s="129"/>
      <c r="N175" s="129"/>
      <c r="O175" s="129"/>
      <c r="P175" s="129"/>
      <c r="Q175" s="129"/>
      <c r="R175" s="129"/>
      <c r="S175" s="129"/>
      <c r="T175" s="129"/>
      <c r="U175" s="129"/>
      <c r="V175" s="129"/>
      <c r="W175" s="129"/>
      <c r="X175" s="129"/>
      <c r="Y175" s="129"/>
      <c r="Z175" s="129"/>
      <c r="AA175" s="129"/>
      <c r="AB175" s="129"/>
      <c r="AC175" s="129"/>
      <c r="AD175" s="129"/>
      <c r="AE175" s="129"/>
      <c r="AF175" s="129"/>
      <c r="AG175" s="129"/>
      <c r="AH175" s="129"/>
      <c r="AI175" s="129"/>
      <c r="AK175" s="139"/>
      <c r="AL175" s="129"/>
    </row>
    <row r="176" spans="6:38" hidden="1" x14ac:dyDescent="0.25">
      <c r="F176" s="129"/>
      <c r="G176" s="129"/>
      <c r="H176" s="129"/>
      <c r="I176" s="129"/>
      <c r="J176" s="129"/>
      <c r="K176" s="129"/>
      <c r="L176" s="129"/>
      <c r="M176" s="129"/>
      <c r="N176" s="129"/>
      <c r="O176" s="129"/>
      <c r="P176" s="129"/>
      <c r="Q176" s="129"/>
      <c r="R176" s="129"/>
      <c r="S176" s="129"/>
      <c r="T176" s="129"/>
      <c r="U176" s="129"/>
      <c r="V176" s="129"/>
      <c r="W176" s="129"/>
      <c r="X176" s="129"/>
      <c r="Y176" s="129"/>
      <c r="Z176" s="129"/>
      <c r="AA176" s="129"/>
      <c r="AB176" s="129"/>
      <c r="AC176" s="129"/>
      <c r="AD176" s="129"/>
      <c r="AE176" s="129"/>
      <c r="AF176" s="129"/>
      <c r="AG176" s="129"/>
      <c r="AH176" s="129"/>
      <c r="AI176" s="129"/>
      <c r="AK176" s="139"/>
      <c r="AL176" s="129"/>
    </row>
    <row r="177" spans="6:38" hidden="1" x14ac:dyDescent="0.25">
      <c r="F177" s="129"/>
      <c r="G177" s="129"/>
      <c r="H177" s="129"/>
      <c r="I177" s="129"/>
      <c r="J177" s="129"/>
      <c r="K177" s="129"/>
      <c r="L177" s="129"/>
      <c r="M177" s="129"/>
      <c r="N177" s="129"/>
      <c r="O177" s="129"/>
      <c r="P177" s="129"/>
      <c r="Q177" s="129"/>
      <c r="R177" s="129"/>
      <c r="S177" s="129"/>
      <c r="T177" s="129"/>
      <c r="U177" s="129"/>
      <c r="V177" s="129"/>
      <c r="W177" s="129"/>
      <c r="X177" s="129"/>
      <c r="Y177" s="129"/>
      <c r="Z177" s="129"/>
      <c r="AA177" s="129"/>
      <c r="AB177" s="129"/>
      <c r="AC177" s="129"/>
      <c r="AD177" s="129"/>
      <c r="AE177" s="129"/>
      <c r="AF177" s="129"/>
      <c r="AG177" s="129"/>
      <c r="AH177" s="129"/>
      <c r="AI177" s="129"/>
      <c r="AK177" s="139"/>
      <c r="AL177" s="129"/>
    </row>
    <row r="178" spans="6:38" hidden="1" x14ac:dyDescent="0.25">
      <c r="F178" s="129"/>
      <c r="G178" s="129"/>
      <c r="H178" s="129"/>
      <c r="I178" s="129"/>
      <c r="J178" s="129"/>
      <c r="K178" s="129"/>
      <c r="L178" s="129"/>
      <c r="M178" s="129"/>
      <c r="N178" s="129"/>
      <c r="O178" s="129"/>
      <c r="P178" s="129"/>
      <c r="Q178" s="129"/>
      <c r="R178" s="129"/>
      <c r="S178" s="129"/>
      <c r="T178" s="129"/>
      <c r="U178" s="129"/>
      <c r="V178" s="129"/>
      <c r="W178" s="129"/>
      <c r="X178" s="129"/>
      <c r="Y178" s="129"/>
      <c r="Z178" s="129"/>
      <c r="AA178" s="129"/>
      <c r="AB178" s="129"/>
      <c r="AC178" s="129"/>
      <c r="AD178" s="129"/>
      <c r="AE178" s="129"/>
      <c r="AF178" s="129"/>
      <c r="AG178" s="129"/>
      <c r="AH178" s="129"/>
      <c r="AI178" s="129"/>
      <c r="AK178" s="139"/>
      <c r="AL178" s="129"/>
    </row>
    <row r="179" spans="6:38" hidden="1" x14ac:dyDescent="0.25">
      <c r="F179" s="129"/>
      <c r="G179" s="129"/>
      <c r="H179" s="129"/>
      <c r="I179" s="129"/>
      <c r="J179" s="129"/>
      <c r="K179" s="129"/>
      <c r="L179" s="129"/>
      <c r="M179" s="129"/>
      <c r="N179" s="129"/>
      <c r="O179" s="129"/>
      <c r="P179" s="129"/>
      <c r="Q179" s="129"/>
      <c r="R179" s="129"/>
      <c r="S179" s="129"/>
      <c r="T179" s="129"/>
      <c r="U179" s="129"/>
      <c r="V179" s="129"/>
      <c r="W179" s="129"/>
      <c r="X179" s="129"/>
      <c r="Y179" s="129"/>
      <c r="Z179" s="129"/>
      <c r="AA179" s="129"/>
      <c r="AB179" s="129"/>
      <c r="AC179" s="129"/>
      <c r="AD179" s="129"/>
      <c r="AE179" s="129"/>
      <c r="AF179" s="129"/>
      <c r="AG179" s="129"/>
      <c r="AH179" s="129"/>
      <c r="AI179" s="129"/>
      <c r="AK179" s="139"/>
      <c r="AL179" s="129"/>
    </row>
    <row r="180" spans="6:38" hidden="1" x14ac:dyDescent="0.25">
      <c r="F180" s="129"/>
      <c r="G180" s="129"/>
      <c r="H180" s="129"/>
      <c r="I180" s="129"/>
      <c r="J180" s="129"/>
      <c r="K180" s="129"/>
      <c r="L180" s="129"/>
      <c r="M180" s="129"/>
      <c r="N180" s="129"/>
      <c r="O180" s="129"/>
      <c r="P180" s="129"/>
      <c r="Q180" s="129"/>
      <c r="R180" s="129"/>
      <c r="S180" s="129"/>
      <c r="T180" s="129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29"/>
      <c r="AE180" s="129"/>
      <c r="AF180" s="129"/>
      <c r="AG180" s="129"/>
      <c r="AH180" s="129"/>
      <c r="AI180" s="129"/>
      <c r="AK180" s="139"/>
      <c r="AL180" s="129"/>
    </row>
    <row r="181" spans="6:38" hidden="1" x14ac:dyDescent="0.25">
      <c r="F181" s="129"/>
      <c r="G181" s="129"/>
      <c r="H181" s="129"/>
      <c r="I181" s="129"/>
      <c r="J181" s="129"/>
      <c r="K181" s="129"/>
      <c r="L181" s="129"/>
      <c r="M181" s="129"/>
      <c r="N181" s="129"/>
      <c r="O181" s="129"/>
      <c r="P181" s="129"/>
      <c r="Q181" s="129"/>
      <c r="R181" s="129"/>
      <c r="S181" s="129"/>
      <c r="T181" s="129"/>
      <c r="U181" s="129"/>
      <c r="V181" s="129"/>
      <c r="W181" s="129"/>
      <c r="X181" s="129"/>
      <c r="Y181" s="129"/>
      <c r="Z181" s="129"/>
      <c r="AA181" s="129"/>
      <c r="AB181" s="129"/>
      <c r="AC181" s="129"/>
      <c r="AD181" s="129"/>
      <c r="AE181" s="129"/>
      <c r="AF181" s="129"/>
      <c r="AG181" s="129"/>
      <c r="AH181" s="129"/>
      <c r="AI181" s="129"/>
      <c r="AK181" s="139"/>
      <c r="AL181" s="129"/>
    </row>
    <row r="182" spans="6:38" hidden="1" x14ac:dyDescent="0.25">
      <c r="F182" s="129"/>
      <c r="G182" s="129"/>
      <c r="H182" s="129"/>
      <c r="I182" s="129"/>
      <c r="J182" s="129"/>
      <c r="K182" s="129"/>
      <c r="L182" s="129"/>
      <c r="M182" s="129"/>
      <c r="N182" s="129"/>
      <c r="O182" s="129"/>
      <c r="P182" s="129"/>
      <c r="Q182" s="129"/>
      <c r="R182" s="129"/>
      <c r="S182" s="129"/>
      <c r="T182" s="129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29"/>
      <c r="AE182" s="129"/>
      <c r="AF182" s="129"/>
      <c r="AG182" s="129"/>
      <c r="AH182" s="129"/>
      <c r="AI182" s="129"/>
      <c r="AK182" s="139"/>
      <c r="AL182" s="129"/>
    </row>
    <row r="183" spans="6:38" hidden="1" x14ac:dyDescent="0.25">
      <c r="F183" s="129"/>
      <c r="G183" s="129"/>
      <c r="H183" s="129"/>
      <c r="I183" s="129"/>
      <c r="J183" s="129"/>
      <c r="K183" s="129"/>
      <c r="L183" s="129"/>
      <c r="M183" s="129"/>
      <c r="N183" s="129"/>
      <c r="O183" s="129"/>
      <c r="P183" s="129"/>
      <c r="Q183" s="129"/>
      <c r="R183" s="129"/>
      <c r="S183" s="129"/>
      <c r="T183" s="129"/>
      <c r="U183" s="129"/>
      <c r="V183" s="129"/>
      <c r="W183" s="129"/>
      <c r="X183" s="129"/>
      <c r="Y183" s="129"/>
      <c r="Z183" s="129"/>
      <c r="AA183" s="129"/>
      <c r="AB183" s="129"/>
      <c r="AC183" s="129"/>
      <c r="AD183" s="129"/>
      <c r="AE183" s="129"/>
      <c r="AF183" s="129"/>
      <c r="AG183" s="129"/>
      <c r="AH183" s="129"/>
      <c r="AI183" s="129"/>
      <c r="AK183" s="139"/>
      <c r="AL183" s="129"/>
    </row>
    <row r="184" spans="6:38" hidden="1" x14ac:dyDescent="0.25">
      <c r="F184" s="129"/>
      <c r="G184" s="129"/>
      <c r="H184" s="129"/>
      <c r="I184" s="129"/>
      <c r="J184" s="129"/>
      <c r="K184" s="129"/>
      <c r="L184" s="129"/>
      <c r="M184" s="129"/>
      <c r="N184" s="129"/>
      <c r="O184" s="129"/>
      <c r="P184" s="129"/>
      <c r="Q184" s="129"/>
      <c r="R184" s="129"/>
      <c r="S184" s="129"/>
      <c r="T184" s="129"/>
      <c r="U184" s="129"/>
      <c r="V184" s="129"/>
      <c r="W184" s="129"/>
      <c r="X184" s="129"/>
      <c r="Y184" s="129"/>
      <c r="Z184" s="129"/>
      <c r="AA184" s="129"/>
      <c r="AB184" s="129"/>
      <c r="AC184" s="129"/>
      <c r="AD184" s="129"/>
      <c r="AE184" s="129"/>
      <c r="AF184" s="129"/>
      <c r="AG184" s="129"/>
      <c r="AH184" s="129"/>
      <c r="AI184" s="129"/>
      <c r="AK184" s="139"/>
      <c r="AL184" s="129"/>
    </row>
    <row r="185" spans="6:38" hidden="1" x14ac:dyDescent="0.25">
      <c r="F185" s="129"/>
      <c r="G185" s="129"/>
      <c r="H185" s="129"/>
      <c r="I185" s="129"/>
      <c r="J185" s="129"/>
      <c r="K185" s="129"/>
      <c r="L185" s="129"/>
      <c r="M185" s="129"/>
      <c r="N185" s="129"/>
      <c r="O185" s="129"/>
      <c r="P185" s="129"/>
      <c r="Q185" s="129"/>
      <c r="R185" s="129"/>
      <c r="S185" s="129"/>
      <c r="T185" s="129"/>
      <c r="U185" s="129"/>
      <c r="V185" s="129"/>
      <c r="W185" s="129"/>
      <c r="X185" s="129"/>
      <c r="Y185" s="129"/>
      <c r="Z185" s="129"/>
      <c r="AA185" s="129"/>
      <c r="AB185" s="129"/>
      <c r="AC185" s="129"/>
      <c r="AD185" s="129"/>
      <c r="AE185" s="129"/>
      <c r="AF185" s="129"/>
      <c r="AG185" s="129"/>
      <c r="AH185" s="129"/>
      <c r="AI185" s="129"/>
      <c r="AK185" s="139"/>
      <c r="AL185" s="129"/>
    </row>
    <row r="186" spans="6:38" hidden="1" x14ac:dyDescent="0.25">
      <c r="F186" s="129"/>
      <c r="G186" s="129"/>
      <c r="H186" s="129"/>
      <c r="I186" s="129"/>
      <c r="J186" s="129"/>
      <c r="K186" s="129"/>
      <c r="L186" s="129"/>
      <c r="M186" s="129"/>
      <c r="N186" s="129"/>
      <c r="O186" s="129"/>
      <c r="P186" s="129"/>
      <c r="Q186" s="129"/>
      <c r="R186" s="129"/>
      <c r="S186" s="129"/>
      <c r="T186" s="129"/>
      <c r="U186" s="129"/>
      <c r="V186" s="129"/>
      <c r="W186" s="129"/>
      <c r="X186" s="129"/>
      <c r="Y186" s="129"/>
      <c r="Z186" s="129"/>
      <c r="AA186" s="129"/>
      <c r="AB186" s="129"/>
      <c r="AC186" s="129"/>
      <c r="AD186" s="129"/>
      <c r="AE186" s="129"/>
      <c r="AF186" s="129"/>
      <c r="AG186" s="129"/>
      <c r="AH186" s="129"/>
      <c r="AI186" s="129"/>
      <c r="AK186" s="139"/>
      <c r="AL186" s="129"/>
    </row>
    <row r="187" spans="6:38" hidden="1" x14ac:dyDescent="0.25">
      <c r="F187" s="129"/>
      <c r="G187" s="129"/>
      <c r="H187" s="129"/>
      <c r="I187" s="129"/>
      <c r="J187" s="129"/>
      <c r="K187" s="129"/>
      <c r="L187" s="129"/>
      <c r="M187" s="129"/>
      <c r="N187" s="129"/>
      <c r="O187" s="129"/>
      <c r="P187" s="129"/>
      <c r="Q187" s="129"/>
      <c r="R187" s="129"/>
      <c r="S187" s="129"/>
      <c r="T187" s="129"/>
      <c r="U187" s="129"/>
      <c r="V187" s="129"/>
      <c r="W187" s="129"/>
      <c r="X187" s="129"/>
      <c r="Y187" s="129"/>
      <c r="Z187" s="129"/>
      <c r="AA187" s="129"/>
      <c r="AB187" s="129"/>
      <c r="AC187" s="129"/>
      <c r="AD187" s="129"/>
      <c r="AE187" s="129"/>
      <c r="AF187" s="129"/>
      <c r="AG187" s="129"/>
      <c r="AH187" s="129"/>
      <c r="AI187" s="129"/>
      <c r="AK187" s="139"/>
      <c r="AL187" s="129"/>
    </row>
    <row r="188" spans="6:38" hidden="1" x14ac:dyDescent="0.25">
      <c r="F188" s="129"/>
      <c r="G188" s="129"/>
      <c r="H188" s="129"/>
      <c r="I188" s="129"/>
      <c r="J188" s="129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29"/>
      <c r="V188" s="129"/>
      <c r="W188" s="129"/>
      <c r="X188" s="129"/>
      <c r="Y188" s="129"/>
      <c r="Z188" s="129"/>
      <c r="AA188" s="129"/>
      <c r="AB188" s="129"/>
      <c r="AC188" s="129"/>
      <c r="AD188" s="129"/>
      <c r="AE188" s="129"/>
      <c r="AF188" s="129"/>
      <c r="AG188" s="129"/>
      <c r="AH188" s="129"/>
      <c r="AI188" s="129"/>
      <c r="AK188" s="139"/>
      <c r="AL188" s="129"/>
    </row>
    <row r="189" spans="6:38" hidden="1" x14ac:dyDescent="0.25"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29"/>
      <c r="AE189" s="129"/>
      <c r="AF189" s="129"/>
      <c r="AG189" s="129"/>
      <c r="AH189" s="129"/>
      <c r="AI189" s="129"/>
      <c r="AK189" s="139"/>
      <c r="AL189" s="129"/>
    </row>
    <row r="190" spans="6:38" hidden="1" x14ac:dyDescent="0.25"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K190" s="139"/>
      <c r="AL190" s="129"/>
    </row>
    <row r="191" spans="6:38" hidden="1" x14ac:dyDescent="0.25"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K191" s="140"/>
      <c r="AL191" s="129"/>
    </row>
    <row r="192" spans="6:38" hidden="1" x14ac:dyDescent="0.25">
      <c r="F192" s="129"/>
      <c r="G192" s="129"/>
      <c r="H192" s="129"/>
      <c r="I192" s="129"/>
      <c r="J192" s="129"/>
      <c r="K192" s="129"/>
      <c r="L192" s="129"/>
      <c r="M192" s="129"/>
      <c r="N192" s="129"/>
      <c r="O192" s="129"/>
      <c r="P192" s="129"/>
      <c r="Q192" s="129"/>
      <c r="R192" s="129"/>
      <c r="S192" s="129"/>
      <c r="T192" s="129"/>
      <c r="U192" s="129"/>
      <c r="V192" s="129"/>
      <c r="W192" s="129"/>
      <c r="X192" s="129"/>
      <c r="Y192" s="129"/>
      <c r="Z192" s="129"/>
      <c r="AA192" s="129"/>
      <c r="AB192" s="129"/>
      <c r="AC192" s="129"/>
      <c r="AD192" s="129"/>
      <c r="AE192" s="129"/>
      <c r="AF192" s="129"/>
      <c r="AG192" s="129"/>
      <c r="AH192" s="129"/>
      <c r="AI192" s="129"/>
      <c r="AK192" s="140"/>
      <c r="AL192" s="129"/>
    </row>
    <row r="193" spans="6:38" hidden="1" x14ac:dyDescent="0.25">
      <c r="F193" s="129"/>
      <c r="G193" s="129"/>
      <c r="H193" s="129"/>
      <c r="I193" s="129"/>
      <c r="J193" s="129"/>
      <c r="K193" s="129"/>
      <c r="L193" s="129"/>
      <c r="M193" s="129"/>
      <c r="N193" s="129"/>
      <c r="O193" s="129"/>
      <c r="P193" s="129"/>
      <c r="Q193" s="129"/>
      <c r="R193" s="129"/>
      <c r="S193" s="129"/>
      <c r="T193" s="129"/>
      <c r="U193" s="129"/>
      <c r="V193" s="129"/>
      <c r="W193" s="129"/>
      <c r="X193" s="129"/>
      <c r="Y193" s="129"/>
      <c r="Z193" s="129"/>
      <c r="AA193" s="129"/>
      <c r="AB193" s="129"/>
      <c r="AC193" s="129"/>
      <c r="AD193" s="129"/>
      <c r="AE193" s="129"/>
      <c r="AF193" s="129"/>
      <c r="AG193" s="129"/>
      <c r="AH193" s="129"/>
      <c r="AI193" s="129"/>
      <c r="AK193" s="140"/>
      <c r="AL193" s="129"/>
    </row>
    <row r="194" spans="6:38" hidden="1" x14ac:dyDescent="0.25">
      <c r="F194" s="129"/>
      <c r="G194" s="129"/>
      <c r="H194" s="129"/>
      <c r="I194" s="129"/>
      <c r="J194" s="129"/>
      <c r="K194" s="129"/>
      <c r="L194" s="129"/>
      <c r="M194" s="129"/>
      <c r="N194" s="129"/>
      <c r="O194" s="129"/>
      <c r="P194" s="129"/>
      <c r="Q194" s="129"/>
      <c r="R194" s="129"/>
      <c r="S194" s="129"/>
      <c r="T194" s="129"/>
      <c r="U194" s="129"/>
      <c r="V194" s="129"/>
      <c r="W194" s="129"/>
      <c r="X194" s="129"/>
      <c r="Y194" s="129"/>
      <c r="Z194" s="129"/>
      <c r="AA194" s="129"/>
      <c r="AB194" s="129"/>
      <c r="AC194" s="129"/>
      <c r="AD194" s="129"/>
      <c r="AE194" s="129"/>
      <c r="AF194" s="129"/>
      <c r="AG194" s="129"/>
      <c r="AH194" s="129"/>
      <c r="AI194" s="129"/>
      <c r="AK194" s="140"/>
      <c r="AL194" s="129"/>
    </row>
    <row r="195" spans="6:38" hidden="1" x14ac:dyDescent="0.25">
      <c r="F195" s="129"/>
      <c r="G195" s="129"/>
      <c r="H195" s="129"/>
      <c r="I195" s="129"/>
      <c r="J195" s="129"/>
      <c r="K195" s="129"/>
      <c r="L195" s="129"/>
      <c r="M195" s="129"/>
      <c r="N195" s="129"/>
      <c r="O195" s="129"/>
      <c r="P195" s="129"/>
      <c r="Q195" s="129"/>
      <c r="R195" s="129"/>
      <c r="S195" s="129"/>
      <c r="T195" s="129"/>
      <c r="U195" s="129"/>
      <c r="V195" s="129"/>
      <c r="W195" s="129"/>
      <c r="X195" s="129"/>
      <c r="Y195" s="129"/>
      <c r="Z195" s="129"/>
      <c r="AA195" s="129"/>
      <c r="AB195" s="129"/>
      <c r="AC195" s="129"/>
      <c r="AD195" s="129"/>
      <c r="AE195" s="129"/>
      <c r="AF195" s="129"/>
      <c r="AG195" s="129"/>
      <c r="AH195" s="129"/>
      <c r="AI195" s="129"/>
      <c r="AK195" s="140"/>
      <c r="AL195" s="129"/>
    </row>
    <row r="196" spans="6:38" hidden="1" x14ac:dyDescent="0.25">
      <c r="F196" s="129"/>
      <c r="G196" s="129"/>
      <c r="H196" s="129"/>
      <c r="I196" s="129"/>
      <c r="J196" s="129"/>
      <c r="K196" s="129"/>
      <c r="L196" s="129"/>
      <c r="M196" s="129"/>
      <c r="N196" s="129"/>
      <c r="O196" s="129"/>
      <c r="P196" s="129"/>
      <c r="Q196" s="129"/>
      <c r="R196" s="129"/>
      <c r="S196" s="129"/>
      <c r="T196" s="129"/>
      <c r="U196" s="129"/>
      <c r="V196" s="129"/>
      <c r="W196" s="129"/>
      <c r="X196" s="129"/>
      <c r="Y196" s="129"/>
      <c r="Z196" s="129"/>
      <c r="AA196" s="129"/>
      <c r="AB196" s="129"/>
      <c r="AC196" s="129"/>
      <c r="AD196" s="129"/>
      <c r="AE196" s="129"/>
      <c r="AF196" s="129"/>
      <c r="AG196" s="129"/>
      <c r="AH196" s="129"/>
      <c r="AI196" s="129"/>
      <c r="AK196" s="140"/>
      <c r="AL196" s="129"/>
    </row>
    <row r="197" spans="6:38" hidden="1" x14ac:dyDescent="0.25">
      <c r="F197" s="129"/>
      <c r="G197" s="129"/>
      <c r="H197" s="129"/>
      <c r="I197" s="129"/>
      <c r="J197" s="129"/>
      <c r="K197" s="129"/>
      <c r="L197" s="129"/>
      <c r="M197" s="129"/>
      <c r="N197" s="129"/>
      <c r="O197" s="129"/>
      <c r="P197" s="129"/>
      <c r="Q197" s="129"/>
      <c r="R197" s="129"/>
      <c r="S197" s="129"/>
      <c r="T197" s="129"/>
      <c r="U197" s="129"/>
      <c r="V197" s="129"/>
      <c r="W197" s="129"/>
      <c r="X197" s="129"/>
      <c r="Y197" s="129"/>
      <c r="Z197" s="129"/>
      <c r="AA197" s="129"/>
      <c r="AB197" s="129"/>
      <c r="AC197" s="129"/>
      <c r="AD197" s="129"/>
      <c r="AE197" s="129"/>
      <c r="AF197" s="129"/>
      <c r="AG197" s="129"/>
      <c r="AH197" s="129"/>
      <c r="AI197" s="129"/>
      <c r="AK197" s="140"/>
      <c r="AL197" s="129"/>
    </row>
    <row r="198" spans="6:38" hidden="1" x14ac:dyDescent="0.25">
      <c r="F198" s="129"/>
      <c r="G198" s="129"/>
      <c r="H198" s="129"/>
      <c r="I198" s="129"/>
      <c r="J198" s="129"/>
      <c r="K198" s="129"/>
      <c r="L198" s="129"/>
      <c r="M198" s="129"/>
      <c r="N198" s="129"/>
      <c r="O198" s="129"/>
      <c r="P198" s="129"/>
      <c r="Q198" s="129"/>
      <c r="R198" s="129"/>
      <c r="S198" s="129"/>
      <c r="T198" s="129"/>
      <c r="U198" s="129"/>
      <c r="V198" s="129"/>
      <c r="W198" s="129"/>
      <c r="X198" s="129"/>
      <c r="Y198" s="129"/>
      <c r="Z198" s="129"/>
      <c r="AA198" s="129"/>
      <c r="AB198" s="129"/>
      <c r="AC198" s="129"/>
      <c r="AD198" s="129"/>
      <c r="AE198" s="129"/>
      <c r="AF198" s="129"/>
      <c r="AG198" s="129"/>
      <c r="AH198" s="129"/>
      <c r="AI198" s="129"/>
      <c r="AK198" s="140"/>
      <c r="AL198" s="129"/>
    </row>
    <row r="199" spans="6:38" hidden="1" x14ac:dyDescent="0.25">
      <c r="F199" s="129"/>
      <c r="G199" s="129"/>
      <c r="H199" s="129"/>
      <c r="I199" s="129"/>
      <c r="J199" s="129"/>
      <c r="K199" s="129"/>
      <c r="L199" s="129"/>
      <c r="M199" s="129"/>
      <c r="N199" s="129"/>
      <c r="O199" s="129"/>
      <c r="P199" s="129"/>
      <c r="Q199" s="129"/>
      <c r="R199" s="129"/>
      <c r="S199" s="129"/>
      <c r="T199" s="129"/>
      <c r="U199" s="129"/>
      <c r="V199" s="129"/>
      <c r="W199" s="129"/>
      <c r="X199" s="129"/>
      <c r="Y199" s="129"/>
      <c r="Z199" s="129"/>
      <c r="AA199" s="129"/>
      <c r="AB199" s="129"/>
      <c r="AC199" s="129"/>
      <c r="AD199" s="129"/>
      <c r="AE199" s="129"/>
      <c r="AF199" s="129"/>
      <c r="AG199" s="129"/>
      <c r="AH199" s="129"/>
      <c r="AI199" s="129"/>
      <c r="AK199" s="140"/>
      <c r="AL199" s="129"/>
    </row>
    <row r="200" spans="6:38" hidden="1" x14ac:dyDescent="0.25">
      <c r="F200" s="129"/>
      <c r="G200" s="129"/>
      <c r="H200" s="129"/>
      <c r="I200" s="129"/>
      <c r="J200" s="129"/>
      <c r="K200" s="129"/>
      <c r="L200" s="129"/>
      <c r="M200" s="129"/>
      <c r="N200" s="129"/>
      <c r="O200" s="129"/>
      <c r="P200" s="129"/>
      <c r="Q200" s="129"/>
      <c r="R200" s="129"/>
      <c r="S200" s="129"/>
      <c r="T200" s="129"/>
      <c r="U200" s="129"/>
      <c r="V200" s="129"/>
      <c r="W200" s="129"/>
      <c r="X200" s="129"/>
      <c r="Y200" s="129"/>
      <c r="Z200" s="129"/>
      <c r="AA200" s="129"/>
      <c r="AB200" s="129"/>
      <c r="AC200" s="129"/>
      <c r="AD200" s="129"/>
      <c r="AE200" s="129"/>
      <c r="AF200" s="129"/>
      <c r="AG200" s="129"/>
      <c r="AH200" s="129"/>
      <c r="AI200" s="129"/>
      <c r="AK200" s="140"/>
      <c r="AL200" s="129"/>
    </row>
    <row r="201" spans="6:38" hidden="1" x14ac:dyDescent="0.25">
      <c r="F201" s="129"/>
      <c r="G201" s="129"/>
      <c r="H201" s="129"/>
      <c r="I201" s="129"/>
      <c r="J201" s="129"/>
      <c r="K201" s="129"/>
      <c r="L201" s="129"/>
      <c r="M201" s="129"/>
      <c r="N201" s="129"/>
      <c r="O201" s="129"/>
      <c r="P201" s="129"/>
      <c r="Q201" s="129"/>
      <c r="R201" s="129"/>
      <c r="S201" s="129"/>
      <c r="T201" s="129"/>
      <c r="U201" s="129"/>
      <c r="V201" s="129"/>
      <c r="W201" s="129"/>
      <c r="X201" s="129"/>
      <c r="Y201" s="129"/>
      <c r="Z201" s="129"/>
      <c r="AA201" s="129"/>
      <c r="AB201" s="129"/>
      <c r="AC201" s="129"/>
      <c r="AD201" s="129"/>
      <c r="AE201" s="129"/>
      <c r="AF201" s="129"/>
      <c r="AG201" s="129"/>
      <c r="AH201" s="129"/>
      <c r="AI201" s="129"/>
      <c r="AK201" s="140"/>
      <c r="AL201" s="129"/>
    </row>
    <row r="202" spans="6:38" hidden="1" x14ac:dyDescent="0.25">
      <c r="F202" s="129"/>
      <c r="G202" s="129"/>
      <c r="H202" s="129"/>
      <c r="I202" s="129"/>
      <c r="J202" s="129"/>
      <c r="K202" s="129"/>
      <c r="L202" s="129"/>
      <c r="M202" s="129"/>
      <c r="N202" s="129"/>
      <c r="O202" s="129"/>
      <c r="P202" s="129"/>
      <c r="Q202" s="129"/>
      <c r="R202" s="129"/>
      <c r="S202" s="129"/>
      <c r="T202" s="129"/>
      <c r="U202" s="129"/>
      <c r="V202" s="129"/>
      <c r="W202" s="129"/>
      <c r="X202" s="129"/>
      <c r="Y202" s="129"/>
      <c r="Z202" s="129"/>
      <c r="AA202" s="129"/>
      <c r="AB202" s="129"/>
      <c r="AC202" s="129"/>
      <c r="AD202" s="129"/>
      <c r="AE202" s="129"/>
      <c r="AF202" s="129"/>
      <c r="AG202" s="129"/>
      <c r="AH202" s="129"/>
      <c r="AI202" s="129"/>
      <c r="AK202" s="140"/>
      <c r="AL202" s="129"/>
    </row>
    <row r="203" spans="6:38" hidden="1" x14ac:dyDescent="0.25">
      <c r="F203" s="129"/>
      <c r="G203" s="129"/>
      <c r="H203" s="129"/>
      <c r="I203" s="129"/>
      <c r="J203" s="129"/>
      <c r="K203" s="129"/>
      <c r="L203" s="129"/>
      <c r="M203" s="129"/>
      <c r="N203" s="129"/>
      <c r="O203" s="129"/>
      <c r="P203" s="129"/>
      <c r="Q203" s="129"/>
      <c r="R203" s="129"/>
      <c r="S203" s="129"/>
      <c r="T203" s="129"/>
      <c r="U203" s="129"/>
      <c r="V203" s="129"/>
      <c r="W203" s="129"/>
      <c r="X203" s="129"/>
      <c r="Y203" s="129"/>
      <c r="Z203" s="129"/>
      <c r="AA203" s="129"/>
      <c r="AB203" s="129"/>
      <c r="AC203" s="129"/>
      <c r="AD203" s="129"/>
      <c r="AE203" s="129"/>
      <c r="AF203" s="129"/>
      <c r="AG203" s="129"/>
      <c r="AH203" s="129"/>
      <c r="AI203" s="129"/>
      <c r="AK203" s="140"/>
      <c r="AL203" s="129"/>
    </row>
    <row r="204" spans="6:38" hidden="1" x14ac:dyDescent="0.25">
      <c r="F204" s="129"/>
      <c r="G204" s="129"/>
      <c r="H204" s="129"/>
      <c r="I204" s="129"/>
      <c r="J204" s="129"/>
      <c r="K204" s="129"/>
      <c r="L204" s="129"/>
      <c r="M204" s="129"/>
      <c r="N204" s="129"/>
      <c r="O204" s="129"/>
      <c r="P204" s="129"/>
      <c r="Q204" s="129"/>
      <c r="R204" s="129"/>
      <c r="S204" s="129"/>
      <c r="T204" s="129"/>
      <c r="U204" s="129"/>
      <c r="V204" s="129"/>
      <c r="W204" s="129"/>
      <c r="X204" s="129"/>
      <c r="Y204" s="129"/>
      <c r="Z204" s="129"/>
      <c r="AA204" s="129"/>
      <c r="AB204" s="129"/>
      <c r="AC204" s="129"/>
      <c r="AD204" s="129"/>
      <c r="AE204" s="129"/>
      <c r="AF204" s="129"/>
      <c r="AG204" s="129"/>
      <c r="AH204" s="129"/>
      <c r="AI204" s="129"/>
      <c r="AK204" s="140"/>
      <c r="AL204" s="129"/>
    </row>
    <row r="205" spans="6:38" hidden="1" x14ac:dyDescent="0.25">
      <c r="F205" s="129"/>
      <c r="G205" s="129"/>
      <c r="H205" s="129"/>
      <c r="I205" s="129"/>
      <c r="J205" s="129"/>
      <c r="K205" s="129"/>
      <c r="L205" s="129"/>
      <c r="M205" s="129"/>
      <c r="N205" s="129"/>
      <c r="O205" s="129"/>
      <c r="P205" s="129"/>
      <c r="Q205" s="129"/>
      <c r="R205" s="129"/>
      <c r="S205" s="129"/>
      <c r="T205" s="129"/>
      <c r="U205" s="129"/>
      <c r="V205" s="129"/>
      <c r="W205" s="129"/>
      <c r="X205" s="129"/>
      <c r="Y205" s="129"/>
      <c r="Z205" s="129"/>
      <c r="AA205" s="129"/>
      <c r="AB205" s="129"/>
      <c r="AC205" s="129"/>
      <c r="AD205" s="129"/>
      <c r="AE205" s="129"/>
      <c r="AF205" s="129"/>
      <c r="AG205" s="129"/>
      <c r="AH205" s="129"/>
      <c r="AI205" s="129"/>
      <c r="AK205" s="140"/>
      <c r="AL205" s="129"/>
    </row>
    <row r="206" spans="6:38" hidden="1" x14ac:dyDescent="0.25">
      <c r="F206" s="129"/>
      <c r="G206" s="129"/>
      <c r="H206" s="129"/>
      <c r="I206" s="129"/>
      <c r="J206" s="129"/>
      <c r="K206" s="129"/>
      <c r="L206" s="129"/>
      <c r="M206" s="129"/>
      <c r="N206" s="129"/>
      <c r="O206" s="129"/>
      <c r="P206" s="129"/>
      <c r="Q206" s="129"/>
      <c r="R206" s="129"/>
      <c r="S206" s="129"/>
      <c r="T206" s="129"/>
      <c r="U206" s="129"/>
      <c r="V206" s="129"/>
      <c r="W206" s="129"/>
      <c r="X206" s="129"/>
      <c r="Y206" s="129"/>
      <c r="Z206" s="129"/>
      <c r="AA206" s="129"/>
      <c r="AB206" s="129"/>
      <c r="AC206" s="129"/>
      <c r="AD206" s="129"/>
      <c r="AE206" s="129"/>
      <c r="AF206" s="129"/>
      <c r="AG206" s="129"/>
      <c r="AH206" s="129"/>
      <c r="AI206" s="129"/>
      <c r="AK206" s="140"/>
      <c r="AL206" s="129"/>
    </row>
    <row r="207" spans="6:38" hidden="1" x14ac:dyDescent="0.25">
      <c r="F207" s="129"/>
      <c r="G207" s="129"/>
      <c r="H207" s="129"/>
      <c r="I207" s="129"/>
      <c r="J207" s="129"/>
      <c r="K207" s="129"/>
      <c r="L207" s="129"/>
      <c r="M207" s="129"/>
      <c r="N207" s="129"/>
      <c r="O207" s="129"/>
      <c r="P207" s="129"/>
      <c r="Q207" s="129"/>
      <c r="R207" s="129"/>
      <c r="S207" s="129"/>
      <c r="T207" s="129"/>
      <c r="U207" s="129"/>
      <c r="V207" s="129"/>
      <c r="W207" s="129"/>
      <c r="X207" s="129"/>
      <c r="Y207" s="129"/>
      <c r="Z207" s="129"/>
      <c r="AA207" s="129"/>
      <c r="AB207" s="129"/>
      <c r="AC207" s="129"/>
      <c r="AD207" s="129"/>
      <c r="AE207" s="129"/>
      <c r="AF207" s="129"/>
      <c r="AG207" s="129"/>
      <c r="AH207" s="129"/>
      <c r="AI207" s="129"/>
      <c r="AK207" s="140"/>
      <c r="AL207" s="129"/>
    </row>
    <row r="208" spans="6:38" hidden="1" x14ac:dyDescent="0.25">
      <c r="F208" s="129"/>
      <c r="G208" s="129"/>
      <c r="H208" s="129"/>
      <c r="I208" s="129"/>
      <c r="J208" s="129"/>
      <c r="K208" s="129"/>
      <c r="L208" s="129"/>
      <c r="M208" s="129"/>
      <c r="N208" s="129"/>
      <c r="O208" s="129"/>
      <c r="P208" s="129"/>
      <c r="Q208" s="129"/>
      <c r="R208" s="129"/>
      <c r="S208" s="129"/>
      <c r="T208" s="129"/>
      <c r="U208" s="129"/>
      <c r="V208" s="129"/>
      <c r="W208" s="129"/>
      <c r="X208" s="129"/>
      <c r="Y208" s="129"/>
      <c r="Z208" s="129"/>
      <c r="AA208" s="129"/>
      <c r="AB208" s="129"/>
      <c r="AC208" s="129"/>
      <c r="AD208" s="129"/>
      <c r="AE208" s="129"/>
      <c r="AF208" s="129"/>
      <c r="AG208" s="129"/>
      <c r="AH208" s="129"/>
      <c r="AI208" s="129"/>
      <c r="AK208" s="140"/>
      <c r="AL208" s="129"/>
    </row>
    <row r="209" spans="6:38" hidden="1" x14ac:dyDescent="0.25">
      <c r="F209" s="129"/>
      <c r="G209" s="129"/>
      <c r="H209" s="129"/>
      <c r="I209" s="129"/>
      <c r="J209" s="129"/>
      <c r="K209" s="129"/>
      <c r="L209" s="129"/>
      <c r="M209" s="129"/>
      <c r="N209" s="129"/>
      <c r="O209" s="129"/>
      <c r="P209" s="129"/>
      <c r="Q209" s="129"/>
      <c r="R209" s="129"/>
      <c r="S209" s="129"/>
      <c r="T209" s="129"/>
      <c r="U209" s="129"/>
      <c r="V209" s="129"/>
      <c r="W209" s="129"/>
      <c r="X209" s="129"/>
      <c r="Y209" s="129"/>
      <c r="Z209" s="129"/>
      <c r="AA209" s="129"/>
      <c r="AB209" s="129"/>
      <c r="AC209" s="129"/>
      <c r="AD209" s="129"/>
      <c r="AE209" s="129"/>
      <c r="AF209" s="129"/>
      <c r="AG209" s="129"/>
      <c r="AH209" s="129"/>
      <c r="AI209" s="129"/>
      <c r="AK209" s="140"/>
      <c r="AL209" s="129"/>
    </row>
    <row r="210" spans="6:38" hidden="1" x14ac:dyDescent="0.25">
      <c r="F210" s="129"/>
      <c r="G210" s="129"/>
      <c r="H210" s="129"/>
      <c r="I210" s="129"/>
      <c r="J210" s="129"/>
      <c r="K210" s="129"/>
      <c r="L210" s="129"/>
      <c r="M210" s="129"/>
      <c r="N210" s="129"/>
      <c r="O210" s="129"/>
      <c r="P210" s="129"/>
      <c r="Q210" s="129"/>
      <c r="R210" s="129"/>
      <c r="S210" s="129"/>
      <c r="T210" s="129"/>
      <c r="U210" s="129"/>
      <c r="V210" s="129"/>
      <c r="W210" s="129"/>
      <c r="X210" s="129"/>
      <c r="Y210" s="129"/>
      <c r="Z210" s="129"/>
      <c r="AA210" s="129"/>
      <c r="AB210" s="129"/>
      <c r="AC210" s="129"/>
      <c r="AD210" s="129"/>
      <c r="AE210" s="129"/>
      <c r="AF210" s="129"/>
      <c r="AG210" s="129"/>
      <c r="AH210" s="129"/>
      <c r="AI210" s="129"/>
      <c r="AK210" s="140"/>
      <c r="AL210" s="129"/>
    </row>
    <row r="211" spans="6:38" hidden="1" x14ac:dyDescent="0.25">
      <c r="F211" s="129"/>
      <c r="G211" s="129"/>
      <c r="H211" s="129"/>
      <c r="I211" s="129"/>
      <c r="J211" s="129"/>
      <c r="K211" s="129"/>
      <c r="L211" s="129"/>
      <c r="M211" s="129"/>
      <c r="N211" s="129"/>
      <c r="O211" s="129"/>
      <c r="P211" s="129"/>
      <c r="Q211" s="129"/>
      <c r="R211" s="129"/>
      <c r="S211" s="129"/>
      <c r="T211" s="129"/>
      <c r="U211" s="129"/>
      <c r="V211" s="129"/>
      <c r="W211" s="129"/>
      <c r="X211" s="129"/>
      <c r="Y211" s="129"/>
      <c r="Z211" s="129"/>
      <c r="AA211" s="129"/>
      <c r="AB211" s="129"/>
      <c r="AC211" s="129"/>
      <c r="AD211" s="129"/>
      <c r="AE211" s="129"/>
      <c r="AF211" s="129"/>
      <c r="AG211" s="129"/>
      <c r="AH211" s="129"/>
      <c r="AI211" s="129"/>
      <c r="AK211" s="140"/>
      <c r="AL211" s="129"/>
    </row>
    <row r="212" spans="6:38" hidden="1" x14ac:dyDescent="0.25">
      <c r="F212" s="129"/>
      <c r="G212" s="129"/>
      <c r="H212" s="129"/>
      <c r="I212" s="129"/>
      <c r="J212" s="129"/>
      <c r="K212" s="129"/>
      <c r="L212" s="129"/>
      <c r="M212" s="129"/>
      <c r="N212" s="129"/>
      <c r="O212" s="129"/>
      <c r="P212" s="129"/>
      <c r="Q212" s="129"/>
      <c r="R212" s="129"/>
      <c r="S212" s="129"/>
      <c r="T212" s="129"/>
      <c r="U212" s="129"/>
      <c r="V212" s="129"/>
      <c r="W212" s="129"/>
      <c r="X212" s="129"/>
      <c r="Y212" s="129"/>
      <c r="Z212" s="129"/>
      <c r="AA212" s="129"/>
      <c r="AB212" s="129"/>
      <c r="AC212" s="129"/>
      <c r="AD212" s="129"/>
      <c r="AE212" s="129"/>
      <c r="AF212" s="129"/>
      <c r="AG212" s="129"/>
      <c r="AH212" s="129"/>
      <c r="AI212" s="129"/>
      <c r="AK212" s="140"/>
      <c r="AL212" s="129"/>
    </row>
    <row r="213" spans="6:38" hidden="1" x14ac:dyDescent="0.25">
      <c r="F213" s="129"/>
      <c r="G213" s="129"/>
      <c r="H213" s="129"/>
      <c r="I213" s="129"/>
      <c r="J213" s="129"/>
      <c r="K213" s="129"/>
      <c r="L213" s="129"/>
      <c r="M213" s="129"/>
      <c r="N213" s="129"/>
      <c r="O213" s="129"/>
      <c r="P213" s="129"/>
      <c r="Q213" s="129"/>
      <c r="R213" s="129"/>
      <c r="S213" s="129"/>
      <c r="T213" s="129"/>
      <c r="U213" s="129"/>
      <c r="V213" s="129"/>
      <c r="W213" s="129"/>
      <c r="X213" s="129"/>
      <c r="Y213" s="129"/>
      <c r="Z213" s="129"/>
      <c r="AA213" s="129"/>
      <c r="AB213" s="129"/>
      <c r="AC213" s="129"/>
      <c r="AD213" s="129"/>
      <c r="AE213" s="129"/>
      <c r="AF213" s="129"/>
      <c r="AG213" s="129"/>
      <c r="AH213" s="129"/>
      <c r="AI213" s="129"/>
      <c r="AK213" s="140"/>
      <c r="AL213" s="129"/>
    </row>
    <row r="214" spans="6:38" hidden="1" x14ac:dyDescent="0.25">
      <c r="F214" s="129"/>
      <c r="G214" s="129"/>
      <c r="H214" s="129"/>
      <c r="I214" s="129"/>
      <c r="J214" s="129"/>
      <c r="K214" s="129"/>
      <c r="L214" s="129"/>
      <c r="M214" s="129"/>
      <c r="N214" s="129"/>
      <c r="O214" s="129"/>
      <c r="P214" s="129"/>
      <c r="Q214" s="129"/>
      <c r="R214" s="129"/>
      <c r="S214" s="129"/>
      <c r="T214" s="129"/>
      <c r="U214" s="129"/>
      <c r="V214" s="129"/>
      <c r="W214" s="129"/>
      <c r="X214" s="129"/>
      <c r="Y214" s="129"/>
      <c r="Z214" s="129"/>
      <c r="AA214" s="129"/>
      <c r="AB214" s="129"/>
      <c r="AC214" s="129"/>
      <c r="AD214" s="129"/>
      <c r="AE214" s="129"/>
      <c r="AF214" s="129"/>
      <c r="AG214" s="129"/>
      <c r="AH214" s="129"/>
      <c r="AI214" s="129"/>
      <c r="AK214" s="140"/>
      <c r="AL214" s="129"/>
    </row>
    <row r="215" spans="6:38" hidden="1" x14ac:dyDescent="0.25">
      <c r="F215" s="129"/>
      <c r="G215" s="129"/>
      <c r="H215" s="129"/>
      <c r="I215" s="129"/>
      <c r="J215" s="129"/>
      <c r="K215" s="129"/>
      <c r="L215" s="129"/>
      <c r="M215" s="129"/>
      <c r="N215" s="129"/>
      <c r="O215" s="129"/>
      <c r="P215" s="129"/>
      <c r="Q215" s="129"/>
      <c r="R215" s="129"/>
      <c r="S215" s="129"/>
      <c r="T215" s="129"/>
      <c r="U215" s="129"/>
      <c r="V215" s="129"/>
      <c r="W215" s="129"/>
      <c r="X215" s="129"/>
      <c r="Y215" s="129"/>
      <c r="Z215" s="129"/>
      <c r="AA215" s="129"/>
      <c r="AB215" s="129"/>
      <c r="AC215" s="129"/>
      <c r="AD215" s="129"/>
      <c r="AE215" s="129"/>
      <c r="AF215" s="129"/>
      <c r="AG215" s="129"/>
      <c r="AH215" s="129"/>
      <c r="AI215" s="129"/>
      <c r="AK215" s="140"/>
      <c r="AL215" s="129"/>
    </row>
    <row r="216" spans="6:38" hidden="1" x14ac:dyDescent="0.25">
      <c r="F216" s="129"/>
      <c r="G216" s="129"/>
      <c r="H216" s="129"/>
      <c r="I216" s="129"/>
      <c r="J216" s="129"/>
      <c r="K216" s="129"/>
      <c r="L216" s="129"/>
      <c r="M216" s="129"/>
      <c r="N216" s="129"/>
      <c r="O216" s="129"/>
      <c r="P216" s="129"/>
      <c r="Q216" s="129"/>
      <c r="R216" s="129"/>
      <c r="S216" s="129"/>
      <c r="T216" s="129"/>
      <c r="U216" s="129"/>
      <c r="V216" s="129"/>
      <c r="W216" s="129"/>
      <c r="X216" s="129"/>
      <c r="Y216" s="129"/>
      <c r="Z216" s="129"/>
      <c r="AA216" s="129"/>
      <c r="AB216" s="129"/>
      <c r="AC216" s="129"/>
      <c r="AD216" s="129"/>
      <c r="AE216" s="129"/>
      <c r="AF216" s="129"/>
      <c r="AG216" s="129"/>
      <c r="AH216" s="129"/>
      <c r="AI216" s="129"/>
      <c r="AK216" s="140"/>
      <c r="AL216" s="129"/>
    </row>
    <row r="217" spans="6:38" hidden="1" x14ac:dyDescent="0.25">
      <c r="F217" s="129"/>
      <c r="G217" s="129"/>
      <c r="H217" s="129"/>
      <c r="I217" s="129"/>
      <c r="J217" s="129"/>
      <c r="K217" s="129"/>
      <c r="L217" s="129"/>
      <c r="M217" s="129"/>
      <c r="N217" s="129"/>
      <c r="O217" s="129"/>
      <c r="P217" s="129"/>
      <c r="Q217" s="129"/>
      <c r="R217" s="129"/>
      <c r="S217" s="129"/>
      <c r="T217" s="129"/>
      <c r="U217" s="129"/>
      <c r="V217" s="129"/>
      <c r="W217" s="129"/>
      <c r="X217" s="129"/>
      <c r="Y217" s="129"/>
      <c r="Z217" s="129"/>
      <c r="AA217" s="129"/>
      <c r="AB217" s="129"/>
      <c r="AC217" s="129"/>
      <c r="AD217" s="129"/>
      <c r="AE217" s="129"/>
      <c r="AF217" s="129"/>
      <c r="AG217" s="129"/>
      <c r="AH217" s="129"/>
      <c r="AI217" s="129"/>
      <c r="AK217" s="140"/>
      <c r="AL217" s="129"/>
    </row>
    <row r="218" spans="6:38" hidden="1" x14ac:dyDescent="0.25">
      <c r="F218" s="129"/>
      <c r="G218" s="129"/>
      <c r="H218" s="129"/>
      <c r="I218" s="129"/>
      <c r="J218" s="129"/>
      <c r="K218" s="129"/>
      <c r="L218" s="129"/>
      <c r="M218" s="129"/>
      <c r="N218" s="129"/>
      <c r="O218" s="129"/>
      <c r="P218" s="129"/>
      <c r="Q218" s="129"/>
      <c r="R218" s="129"/>
      <c r="S218" s="129"/>
      <c r="T218" s="129"/>
      <c r="U218" s="129"/>
      <c r="V218" s="129"/>
      <c r="W218" s="129"/>
      <c r="X218" s="129"/>
      <c r="Y218" s="129"/>
      <c r="Z218" s="129"/>
      <c r="AA218" s="129"/>
      <c r="AB218" s="129"/>
      <c r="AC218" s="129"/>
      <c r="AD218" s="129"/>
      <c r="AE218" s="129"/>
      <c r="AF218" s="129"/>
      <c r="AG218" s="129"/>
      <c r="AH218" s="129"/>
      <c r="AI218" s="129"/>
      <c r="AK218" s="140"/>
      <c r="AL218" s="129"/>
    </row>
    <row r="219" spans="6:38" hidden="1" x14ac:dyDescent="0.25">
      <c r="F219" s="129"/>
      <c r="G219" s="129"/>
      <c r="H219" s="129"/>
      <c r="I219" s="129"/>
      <c r="J219" s="129"/>
      <c r="K219" s="129"/>
      <c r="L219" s="129"/>
      <c r="M219" s="129"/>
      <c r="N219" s="129"/>
      <c r="O219" s="129"/>
      <c r="P219" s="129"/>
      <c r="Q219" s="129"/>
      <c r="R219" s="129"/>
      <c r="S219" s="129"/>
      <c r="T219" s="129"/>
      <c r="U219" s="129"/>
      <c r="V219" s="129"/>
      <c r="W219" s="129"/>
      <c r="X219" s="129"/>
      <c r="Y219" s="129"/>
      <c r="Z219" s="129"/>
      <c r="AA219" s="129"/>
      <c r="AB219" s="129"/>
      <c r="AC219" s="129"/>
      <c r="AD219" s="129"/>
      <c r="AE219" s="129"/>
      <c r="AF219" s="129"/>
      <c r="AG219" s="129"/>
      <c r="AH219" s="129"/>
      <c r="AI219" s="129"/>
      <c r="AK219" s="140"/>
      <c r="AL219" s="129"/>
    </row>
    <row r="220" spans="6:38" hidden="1" x14ac:dyDescent="0.25">
      <c r="F220" s="129"/>
      <c r="G220" s="129"/>
      <c r="H220" s="129"/>
      <c r="I220" s="129"/>
      <c r="J220" s="129"/>
      <c r="K220" s="129"/>
      <c r="L220" s="129"/>
      <c r="M220" s="129"/>
      <c r="N220" s="129"/>
      <c r="O220" s="129"/>
      <c r="P220" s="129"/>
      <c r="Q220" s="129"/>
      <c r="R220" s="129"/>
      <c r="S220" s="129"/>
      <c r="T220" s="129"/>
      <c r="U220" s="129"/>
      <c r="V220" s="129"/>
      <c r="W220" s="129"/>
      <c r="X220" s="129"/>
      <c r="Y220" s="129"/>
      <c r="Z220" s="129"/>
      <c r="AA220" s="129"/>
      <c r="AB220" s="129"/>
      <c r="AC220" s="129"/>
      <c r="AD220" s="129"/>
      <c r="AE220" s="129"/>
      <c r="AF220" s="129"/>
      <c r="AG220" s="129"/>
      <c r="AH220" s="129"/>
      <c r="AI220" s="129"/>
      <c r="AK220" s="140"/>
      <c r="AL220" s="129"/>
    </row>
    <row r="221" spans="6:38" hidden="1" x14ac:dyDescent="0.25">
      <c r="F221" s="129"/>
      <c r="G221" s="129"/>
      <c r="H221" s="129"/>
      <c r="I221" s="129"/>
      <c r="J221" s="129"/>
      <c r="K221" s="129"/>
      <c r="L221" s="129"/>
      <c r="M221" s="129"/>
      <c r="N221" s="129"/>
      <c r="O221" s="129"/>
      <c r="P221" s="129"/>
      <c r="Q221" s="129"/>
      <c r="R221" s="129"/>
      <c r="S221" s="129"/>
      <c r="T221" s="129"/>
      <c r="U221" s="129"/>
      <c r="V221" s="129"/>
      <c r="W221" s="129"/>
      <c r="X221" s="129"/>
      <c r="Y221" s="129"/>
      <c r="Z221" s="129"/>
      <c r="AA221" s="129"/>
      <c r="AB221" s="129"/>
      <c r="AC221" s="129"/>
      <c r="AD221" s="129"/>
      <c r="AE221" s="129"/>
      <c r="AF221" s="129"/>
      <c r="AG221" s="129"/>
      <c r="AH221" s="129"/>
      <c r="AI221" s="129"/>
      <c r="AK221" s="140"/>
      <c r="AL221" s="129"/>
    </row>
    <row r="222" spans="6:38" hidden="1" x14ac:dyDescent="0.25">
      <c r="F222" s="129"/>
      <c r="G222" s="129"/>
      <c r="H222" s="129"/>
      <c r="I222" s="129"/>
      <c r="J222" s="129"/>
      <c r="K222" s="129"/>
      <c r="L222" s="129"/>
      <c r="M222" s="129"/>
      <c r="N222" s="129"/>
      <c r="O222" s="129"/>
      <c r="P222" s="129"/>
      <c r="Q222" s="129"/>
      <c r="R222" s="129"/>
      <c r="S222" s="129"/>
      <c r="T222" s="129"/>
      <c r="U222" s="129"/>
      <c r="V222" s="129"/>
      <c r="W222" s="129"/>
      <c r="X222" s="129"/>
      <c r="Y222" s="129"/>
      <c r="Z222" s="129"/>
      <c r="AA222" s="129"/>
      <c r="AB222" s="129"/>
      <c r="AC222" s="129"/>
      <c r="AD222" s="129"/>
      <c r="AE222" s="129"/>
      <c r="AF222" s="129"/>
      <c r="AG222" s="129"/>
      <c r="AH222" s="129"/>
      <c r="AI222" s="129"/>
      <c r="AK222" s="140"/>
      <c r="AL222" s="129"/>
    </row>
    <row r="223" spans="6:38" hidden="1" x14ac:dyDescent="0.25">
      <c r="F223" s="129"/>
      <c r="G223" s="129"/>
      <c r="H223" s="129"/>
      <c r="I223" s="129"/>
      <c r="J223" s="129"/>
      <c r="K223" s="129"/>
      <c r="L223" s="129"/>
      <c r="M223" s="129"/>
      <c r="N223" s="129"/>
      <c r="O223" s="129"/>
      <c r="P223" s="129"/>
      <c r="Q223" s="129"/>
      <c r="R223" s="129"/>
      <c r="S223" s="129"/>
      <c r="T223" s="129"/>
      <c r="U223" s="129"/>
      <c r="V223" s="129"/>
      <c r="W223" s="129"/>
      <c r="X223" s="129"/>
      <c r="Y223" s="129"/>
      <c r="Z223" s="129"/>
      <c r="AA223" s="129"/>
      <c r="AB223" s="129"/>
      <c r="AC223" s="129"/>
      <c r="AD223" s="129"/>
      <c r="AE223" s="129"/>
      <c r="AF223" s="129"/>
      <c r="AG223" s="129"/>
      <c r="AH223" s="129"/>
      <c r="AI223" s="129"/>
      <c r="AK223" s="140"/>
      <c r="AL223" s="129"/>
    </row>
    <row r="224" spans="6:38" hidden="1" x14ac:dyDescent="0.25">
      <c r="F224" s="129"/>
      <c r="G224" s="129"/>
      <c r="H224" s="129"/>
      <c r="I224" s="129"/>
      <c r="J224" s="129"/>
      <c r="K224" s="129"/>
      <c r="L224" s="129"/>
      <c r="M224" s="129"/>
      <c r="N224" s="129"/>
      <c r="O224" s="129"/>
      <c r="P224" s="129"/>
      <c r="Q224" s="129"/>
      <c r="R224" s="129"/>
      <c r="S224" s="129"/>
      <c r="T224" s="129"/>
      <c r="U224" s="129"/>
      <c r="V224" s="129"/>
      <c r="W224" s="129"/>
      <c r="X224" s="129"/>
      <c r="Y224" s="129"/>
      <c r="Z224" s="129"/>
      <c r="AA224" s="129"/>
      <c r="AB224" s="129"/>
      <c r="AC224" s="129"/>
      <c r="AD224" s="129"/>
      <c r="AE224" s="129"/>
      <c r="AF224" s="129"/>
      <c r="AG224" s="129"/>
      <c r="AH224" s="129"/>
      <c r="AI224" s="129"/>
      <c r="AK224" s="140"/>
      <c r="AL224" s="129"/>
    </row>
    <row r="225" spans="6:38" hidden="1" x14ac:dyDescent="0.25">
      <c r="F225" s="129"/>
      <c r="G225" s="129"/>
      <c r="H225" s="129"/>
      <c r="I225" s="129"/>
      <c r="J225" s="129"/>
      <c r="K225" s="129"/>
      <c r="L225" s="129"/>
      <c r="M225" s="129"/>
      <c r="N225" s="129"/>
      <c r="O225" s="129"/>
      <c r="P225" s="129"/>
      <c r="Q225" s="129"/>
      <c r="R225" s="129"/>
      <c r="S225" s="129"/>
      <c r="T225" s="129"/>
      <c r="U225" s="129"/>
      <c r="V225" s="129"/>
      <c r="W225" s="129"/>
      <c r="X225" s="129"/>
      <c r="Y225" s="129"/>
      <c r="Z225" s="129"/>
      <c r="AA225" s="129"/>
      <c r="AB225" s="129"/>
      <c r="AC225" s="129"/>
      <c r="AD225" s="129"/>
      <c r="AE225" s="129"/>
      <c r="AF225" s="129"/>
      <c r="AG225" s="129"/>
      <c r="AH225" s="129"/>
      <c r="AI225" s="129"/>
      <c r="AK225" s="140"/>
      <c r="AL225" s="129"/>
    </row>
    <row r="226" spans="6:38" hidden="1" x14ac:dyDescent="0.25">
      <c r="F226" s="129"/>
      <c r="G226" s="129"/>
      <c r="H226" s="129"/>
      <c r="I226" s="129"/>
      <c r="J226" s="129"/>
      <c r="K226" s="129"/>
      <c r="L226" s="129"/>
      <c r="M226" s="129"/>
      <c r="N226" s="129"/>
      <c r="O226" s="129"/>
      <c r="P226" s="129"/>
      <c r="Q226" s="129"/>
      <c r="R226" s="129"/>
      <c r="S226" s="129"/>
      <c r="T226" s="129"/>
      <c r="U226" s="129"/>
      <c r="V226" s="129"/>
      <c r="W226" s="129"/>
      <c r="X226" s="129"/>
      <c r="Y226" s="129"/>
      <c r="Z226" s="129"/>
      <c r="AA226" s="129"/>
      <c r="AB226" s="129"/>
      <c r="AC226" s="129"/>
      <c r="AD226" s="129"/>
      <c r="AE226" s="129"/>
      <c r="AF226" s="129"/>
      <c r="AG226" s="129"/>
      <c r="AH226" s="129"/>
      <c r="AI226" s="129"/>
      <c r="AK226" s="140"/>
      <c r="AL226" s="129"/>
    </row>
    <row r="227" spans="6:38" hidden="1" x14ac:dyDescent="0.25">
      <c r="F227" s="129"/>
      <c r="G227" s="129"/>
      <c r="H227" s="129"/>
      <c r="I227" s="129"/>
      <c r="J227" s="129"/>
      <c r="K227" s="129"/>
      <c r="L227" s="129"/>
      <c r="M227" s="129"/>
      <c r="N227" s="129"/>
      <c r="O227" s="129"/>
      <c r="P227" s="129"/>
      <c r="Q227" s="129"/>
      <c r="R227" s="129"/>
      <c r="S227" s="129"/>
      <c r="T227" s="129"/>
      <c r="U227" s="129"/>
      <c r="V227" s="129"/>
      <c r="W227" s="129"/>
      <c r="X227" s="129"/>
      <c r="Y227" s="129"/>
      <c r="Z227" s="129"/>
      <c r="AA227" s="129"/>
      <c r="AB227" s="129"/>
      <c r="AC227" s="129"/>
      <c r="AD227" s="129"/>
      <c r="AE227" s="129"/>
      <c r="AF227" s="129"/>
      <c r="AG227" s="129"/>
      <c r="AH227" s="129"/>
      <c r="AI227" s="129"/>
      <c r="AK227" s="140"/>
      <c r="AL227" s="129"/>
    </row>
    <row r="228" spans="6:38" hidden="1" x14ac:dyDescent="0.25">
      <c r="F228" s="129"/>
      <c r="G228" s="129"/>
      <c r="H228" s="129"/>
      <c r="I228" s="129"/>
      <c r="J228" s="129"/>
      <c r="K228" s="129"/>
      <c r="L228" s="129"/>
      <c r="M228" s="129"/>
      <c r="N228" s="129"/>
      <c r="O228" s="129"/>
      <c r="P228" s="129"/>
      <c r="Q228" s="129"/>
      <c r="R228" s="129"/>
      <c r="S228" s="129"/>
      <c r="T228" s="129"/>
      <c r="U228" s="129"/>
      <c r="V228" s="129"/>
      <c r="W228" s="129"/>
      <c r="X228" s="129"/>
      <c r="Y228" s="129"/>
      <c r="Z228" s="129"/>
      <c r="AA228" s="129"/>
      <c r="AB228" s="129"/>
      <c r="AC228" s="129"/>
      <c r="AD228" s="129"/>
      <c r="AE228" s="129"/>
      <c r="AF228" s="129"/>
      <c r="AG228" s="129"/>
      <c r="AH228" s="129"/>
      <c r="AI228" s="129"/>
      <c r="AK228" s="140"/>
      <c r="AL228" s="129"/>
    </row>
    <row r="229" spans="6:38" hidden="1" x14ac:dyDescent="0.25">
      <c r="F229" s="129"/>
      <c r="G229" s="129"/>
      <c r="H229" s="129"/>
      <c r="I229" s="129"/>
      <c r="J229" s="129"/>
      <c r="K229" s="129"/>
      <c r="L229" s="129"/>
      <c r="M229" s="129"/>
      <c r="N229" s="129"/>
      <c r="O229" s="129"/>
      <c r="P229" s="129"/>
      <c r="Q229" s="129"/>
      <c r="R229" s="129"/>
      <c r="S229" s="129"/>
      <c r="T229" s="129"/>
      <c r="U229" s="129"/>
      <c r="V229" s="129"/>
      <c r="W229" s="129"/>
      <c r="X229" s="129"/>
      <c r="Y229" s="129"/>
      <c r="Z229" s="129"/>
      <c r="AA229" s="129"/>
      <c r="AB229" s="129"/>
      <c r="AC229" s="129"/>
      <c r="AD229" s="129"/>
      <c r="AE229" s="129"/>
      <c r="AF229" s="129"/>
      <c r="AG229" s="129"/>
      <c r="AH229" s="129"/>
      <c r="AI229" s="129"/>
      <c r="AK229" s="140"/>
      <c r="AL229" s="129"/>
    </row>
    <row r="230" spans="6:38" hidden="1" x14ac:dyDescent="0.25">
      <c r="F230" s="129"/>
      <c r="G230" s="129"/>
      <c r="H230" s="129"/>
      <c r="I230" s="129"/>
      <c r="J230" s="129"/>
      <c r="K230" s="129"/>
      <c r="L230" s="129"/>
      <c r="M230" s="129"/>
      <c r="N230" s="129"/>
      <c r="O230" s="129"/>
      <c r="P230" s="129"/>
      <c r="Q230" s="129"/>
      <c r="R230" s="129"/>
      <c r="S230" s="129"/>
      <c r="T230" s="129"/>
      <c r="U230" s="129"/>
      <c r="V230" s="129"/>
      <c r="W230" s="129"/>
      <c r="X230" s="129"/>
      <c r="Y230" s="129"/>
      <c r="Z230" s="129"/>
      <c r="AA230" s="129"/>
      <c r="AB230" s="129"/>
      <c r="AC230" s="129"/>
      <c r="AD230" s="129"/>
      <c r="AE230" s="129"/>
      <c r="AF230" s="129"/>
      <c r="AG230" s="129"/>
      <c r="AH230" s="129"/>
      <c r="AI230" s="129"/>
      <c r="AK230" s="140"/>
      <c r="AL230" s="129"/>
    </row>
    <row r="231" spans="6:38" hidden="1" x14ac:dyDescent="0.25">
      <c r="F231" s="129"/>
      <c r="G231" s="129"/>
      <c r="H231" s="129"/>
      <c r="I231" s="129"/>
      <c r="J231" s="129"/>
      <c r="K231" s="129"/>
      <c r="L231" s="129"/>
      <c r="M231" s="129"/>
      <c r="N231" s="129"/>
      <c r="O231" s="129"/>
      <c r="P231" s="129"/>
      <c r="Q231" s="129"/>
      <c r="R231" s="129"/>
      <c r="S231" s="129"/>
      <c r="T231" s="129"/>
      <c r="U231" s="129"/>
      <c r="V231" s="129"/>
      <c r="W231" s="129"/>
      <c r="X231" s="129"/>
      <c r="Y231" s="129"/>
      <c r="Z231" s="129"/>
      <c r="AA231" s="129"/>
      <c r="AB231" s="129"/>
      <c r="AC231" s="129"/>
      <c r="AD231" s="129"/>
      <c r="AE231" s="129"/>
      <c r="AF231" s="129"/>
      <c r="AG231" s="129"/>
      <c r="AH231" s="129"/>
      <c r="AI231" s="129"/>
      <c r="AK231" s="140"/>
      <c r="AL231" s="129"/>
    </row>
    <row r="232" spans="6:38" hidden="1" x14ac:dyDescent="0.25">
      <c r="F232" s="129"/>
      <c r="G232" s="129"/>
      <c r="H232" s="129"/>
      <c r="I232" s="129"/>
      <c r="J232" s="129"/>
      <c r="K232" s="129"/>
      <c r="L232" s="129"/>
      <c r="M232" s="129"/>
      <c r="N232" s="129"/>
      <c r="O232" s="129"/>
      <c r="P232" s="129"/>
      <c r="Q232" s="129"/>
      <c r="R232" s="129"/>
      <c r="S232" s="129"/>
      <c r="T232" s="129"/>
      <c r="U232" s="129"/>
      <c r="V232" s="129"/>
      <c r="W232" s="129"/>
      <c r="X232" s="129"/>
      <c r="Y232" s="129"/>
      <c r="Z232" s="129"/>
      <c r="AA232" s="129"/>
      <c r="AB232" s="129"/>
      <c r="AC232" s="129"/>
      <c r="AD232" s="129"/>
      <c r="AE232" s="129"/>
      <c r="AF232" s="129"/>
      <c r="AG232" s="129"/>
      <c r="AH232" s="129"/>
      <c r="AI232" s="129"/>
      <c r="AK232" s="140"/>
      <c r="AL232" s="129"/>
    </row>
    <row r="233" spans="6:38" hidden="1" x14ac:dyDescent="0.25">
      <c r="F233" s="129"/>
      <c r="G233" s="129"/>
      <c r="H233" s="129"/>
      <c r="I233" s="129"/>
      <c r="J233" s="129"/>
      <c r="K233" s="129"/>
      <c r="L233" s="129"/>
      <c r="M233" s="129"/>
      <c r="N233" s="129"/>
      <c r="O233" s="129"/>
      <c r="P233" s="129"/>
      <c r="Q233" s="129"/>
      <c r="R233" s="129"/>
      <c r="S233" s="129"/>
      <c r="T233" s="129"/>
      <c r="U233" s="129"/>
      <c r="V233" s="129"/>
      <c r="W233" s="129"/>
      <c r="X233" s="129"/>
      <c r="Y233" s="129"/>
      <c r="Z233" s="129"/>
      <c r="AA233" s="129"/>
      <c r="AB233" s="129"/>
      <c r="AC233" s="129"/>
      <c r="AD233" s="129"/>
      <c r="AE233" s="129"/>
      <c r="AF233" s="129"/>
      <c r="AG233" s="129"/>
      <c r="AH233" s="129"/>
      <c r="AI233" s="129"/>
      <c r="AK233" s="140"/>
      <c r="AL233" s="129"/>
    </row>
    <row r="234" spans="6:38" hidden="1" x14ac:dyDescent="0.25">
      <c r="F234" s="129"/>
      <c r="G234" s="129"/>
      <c r="H234" s="129"/>
      <c r="I234" s="129"/>
      <c r="J234" s="129"/>
      <c r="K234" s="129"/>
      <c r="L234" s="129"/>
      <c r="M234" s="129"/>
      <c r="N234" s="129"/>
      <c r="O234" s="129"/>
      <c r="P234" s="129"/>
      <c r="Q234" s="129"/>
      <c r="R234" s="129"/>
      <c r="S234" s="129"/>
      <c r="T234" s="129"/>
      <c r="U234" s="129"/>
      <c r="V234" s="129"/>
      <c r="W234" s="129"/>
      <c r="X234" s="129"/>
      <c r="Y234" s="129"/>
      <c r="Z234" s="129"/>
      <c r="AA234" s="129"/>
      <c r="AB234" s="129"/>
      <c r="AC234" s="129"/>
      <c r="AD234" s="129"/>
      <c r="AE234" s="129"/>
      <c r="AF234" s="129"/>
      <c r="AG234" s="129"/>
      <c r="AH234" s="129"/>
      <c r="AI234" s="129"/>
      <c r="AK234" s="140"/>
      <c r="AL234" s="129"/>
    </row>
    <row r="235" spans="6:38" hidden="1" x14ac:dyDescent="0.25">
      <c r="F235" s="129"/>
      <c r="G235" s="129"/>
      <c r="H235" s="129"/>
      <c r="I235" s="129"/>
      <c r="J235" s="129"/>
      <c r="K235" s="129"/>
      <c r="L235" s="129"/>
      <c r="M235" s="129"/>
      <c r="N235" s="129"/>
      <c r="O235" s="129"/>
      <c r="P235" s="129"/>
      <c r="Q235" s="129"/>
      <c r="R235" s="129"/>
      <c r="S235" s="129"/>
      <c r="T235" s="129"/>
      <c r="U235" s="129"/>
      <c r="V235" s="129"/>
      <c r="W235" s="129"/>
      <c r="X235" s="129"/>
      <c r="Y235" s="129"/>
      <c r="Z235" s="129"/>
      <c r="AA235" s="129"/>
      <c r="AB235" s="129"/>
      <c r="AC235" s="129"/>
      <c r="AD235" s="129"/>
      <c r="AE235" s="129"/>
      <c r="AF235" s="129"/>
      <c r="AG235" s="129"/>
      <c r="AH235" s="129"/>
      <c r="AI235" s="129"/>
      <c r="AK235" s="140"/>
      <c r="AL235" s="129"/>
    </row>
    <row r="236" spans="6:38" hidden="1" x14ac:dyDescent="0.25">
      <c r="F236" s="129"/>
      <c r="G236" s="129"/>
      <c r="H236" s="129"/>
      <c r="I236" s="129"/>
      <c r="J236" s="129"/>
      <c r="K236" s="129"/>
      <c r="L236" s="129"/>
      <c r="M236" s="129"/>
      <c r="N236" s="129"/>
      <c r="O236" s="129"/>
      <c r="P236" s="129"/>
      <c r="Q236" s="129"/>
      <c r="R236" s="129"/>
      <c r="S236" s="129"/>
      <c r="T236" s="129"/>
      <c r="U236" s="129"/>
      <c r="V236" s="129"/>
      <c r="W236" s="129"/>
      <c r="X236" s="129"/>
      <c r="Y236" s="129"/>
      <c r="Z236" s="129"/>
      <c r="AA236" s="129"/>
      <c r="AB236" s="129"/>
      <c r="AC236" s="129"/>
      <c r="AD236" s="129"/>
      <c r="AE236" s="129"/>
      <c r="AF236" s="129"/>
      <c r="AG236" s="129"/>
      <c r="AH236" s="129"/>
      <c r="AI236" s="129"/>
      <c r="AK236" s="140"/>
      <c r="AL236" s="129"/>
    </row>
    <row r="237" spans="6:38" hidden="1" x14ac:dyDescent="0.25">
      <c r="F237" s="129"/>
      <c r="G237" s="129"/>
      <c r="H237" s="129"/>
      <c r="I237" s="129"/>
      <c r="J237" s="129"/>
      <c r="K237" s="129"/>
      <c r="L237" s="129"/>
      <c r="M237" s="129"/>
      <c r="N237" s="129"/>
      <c r="O237" s="129"/>
      <c r="P237" s="129"/>
      <c r="Q237" s="129"/>
      <c r="R237" s="129"/>
      <c r="S237" s="129"/>
      <c r="T237" s="129"/>
      <c r="U237" s="129"/>
      <c r="V237" s="129"/>
      <c r="W237" s="129"/>
      <c r="X237" s="129"/>
      <c r="Y237" s="129"/>
      <c r="Z237" s="129"/>
      <c r="AA237" s="129"/>
      <c r="AB237" s="129"/>
      <c r="AC237" s="129"/>
      <c r="AD237" s="129"/>
      <c r="AE237" s="129"/>
      <c r="AF237" s="129"/>
      <c r="AG237" s="129"/>
      <c r="AH237" s="129"/>
      <c r="AI237" s="129"/>
      <c r="AK237" s="140"/>
      <c r="AL237" s="129"/>
    </row>
    <row r="238" spans="6:38" hidden="1" x14ac:dyDescent="0.25">
      <c r="F238" s="129"/>
      <c r="G238" s="129"/>
      <c r="H238" s="129"/>
      <c r="I238" s="129"/>
      <c r="J238" s="129"/>
      <c r="K238" s="129"/>
      <c r="L238" s="129"/>
      <c r="M238" s="129"/>
      <c r="N238" s="129"/>
      <c r="O238" s="129"/>
      <c r="P238" s="129"/>
      <c r="Q238" s="129"/>
      <c r="R238" s="129"/>
      <c r="S238" s="129"/>
      <c r="T238" s="129"/>
      <c r="U238" s="129"/>
      <c r="V238" s="129"/>
      <c r="W238" s="129"/>
      <c r="X238" s="129"/>
      <c r="Y238" s="129"/>
      <c r="Z238" s="129"/>
      <c r="AA238" s="129"/>
      <c r="AB238" s="129"/>
      <c r="AC238" s="129"/>
      <c r="AD238" s="129"/>
      <c r="AE238" s="129"/>
      <c r="AF238" s="129"/>
      <c r="AG238" s="129"/>
      <c r="AH238" s="129"/>
      <c r="AI238" s="129"/>
      <c r="AK238" s="140"/>
      <c r="AL238" s="129"/>
    </row>
    <row r="239" spans="6:38" hidden="1" x14ac:dyDescent="0.25">
      <c r="F239" s="129"/>
      <c r="G239" s="129"/>
      <c r="H239" s="129"/>
      <c r="I239" s="129"/>
      <c r="J239" s="129"/>
      <c r="K239" s="129"/>
      <c r="L239" s="129"/>
      <c r="M239" s="129"/>
      <c r="N239" s="129"/>
      <c r="O239" s="129"/>
      <c r="P239" s="129"/>
      <c r="Q239" s="129"/>
      <c r="R239" s="129"/>
      <c r="S239" s="129"/>
      <c r="T239" s="129"/>
      <c r="U239" s="129"/>
      <c r="V239" s="129"/>
      <c r="W239" s="129"/>
      <c r="X239" s="129"/>
      <c r="Y239" s="129"/>
      <c r="Z239" s="129"/>
      <c r="AA239" s="129"/>
      <c r="AB239" s="129"/>
      <c r="AC239" s="129"/>
      <c r="AD239" s="129"/>
      <c r="AE239" s="129"/>
      <c r="AF239" s="129"/>
      <c r="AG239" s="129"/>
      <c r="AH239" s="129"/>
      <c r="AI239" s="129"/>
      <c r="AK239" s="140"/>
      <c r="AL239" s="129"/>
    </row>
    <row r="240" spans="6:38" hidden="1" x14ac:dyDescent="0.25">
      <c r="F240" s="129"/>
      <c r="G240" s="129"/>
      <c r="H240" s="129"/>
      <c r="I240" s="129"/>
      <c r="J240" s="129"/>
      <c r="K240" s="129"/>
      <c r="L240" s="129"/>
      <c r="M240" s="129"/>
      <c r="N240" s="129"/>
      <c r="O240" s="129"/>
      <c r="P240" s="129"/>
      <c r="Q240" s="129"/>
      <c r="R240" s="129"/>
      <c r="S240" s="129"/>
      <c r="T240" s="129"/>
      <c r="U240" s="129"/>
      <c r="V240" s="129"/>
      <c r="W240" s="129"/>
      <c r="X240" s="129"/>
      <c r="Y240" s="129"/>
      <c r="Z240" s="129"/>
      <c r="AA240" s="129"/>
      <c r="AB240" s="129"/>
      <c r="AC240" s="129"/>
      <c r="AD240" s="129"/>
      <c r="AE240" s="129"/>
      <c r="AF240" s="129"/>
      <c r="AG240" s="129"/>
      <c r="AH240" s="129"/>
      <c r="AI240" s="129"/>
      <c r="AK240" s="140"/>
      <c r="AL240" s="129"/>
    </row>
    <row r="241" spans="6:38" hidden="1" x14ac:dyDescent="0.25">
      <c r="F241" s="129"/>
      <c r="G241" s="129"/>
      <c r="H241" s="129"/>
      <c r="I241" s="129"/>
      <c r="J241" s="129"/>
      <c r="K241" s="129"/>
      <c r="L241" s="129"/>
      <c r="M241" s="129"/>
      <c r="N241" s="129"/>
      <c r="O241" s="129"/>
      <c r="P241" s="129"/>
      <c r="Q241" s="129"/>
      <c r="R241" s="129"/>
      <c r="S241" s="129"/>
      <c r="T241" s="129"/>
      <c r="U241" s="129"/>
      <c r="V241" s="129"/>
      <c r="W241" s="129"/>
      <c r="X241" s="129"/>
      <c r="Y241" s="129"/>
      <c r="Z241" s="129"/>
      <c r="AA241" s="129"/>
      <c r="AB241" s="129"/>
      <c r="AC241" s="129"/>
      <c r="AD241" s="129"/>
      <c r="AE241" s="129"/>
      <c r="AF241" s="129"/>
      <c r="AG241" s="129"/>
      <c r="AH241" s="129"/>
      <c r="AI241" s="129"/>
      <c r="AK241" s="140"/>
      <c r="AL241" s="129"/>
    </row>
    <row r="242" spans="6:38" hidden="1" x14ac:dyDescent="0.25">
      <c r="F242" s="129"/>
      <c r="G242" s="129"/>
      <c r="H242" s="129"/>
      <c r="I242" s="129"/>
      <c r="J242" s="129"/>
      <c r="K242" s="129"/>
      <c r="L242" s="129"/>
      <c r="M242" s="129"/>
      <c r="N242" s="129"/>
      <c r="O242" s="129"/>
      <c r="P242" s="129"/>
      <c r="Q242" s="129"/>
      <c r="R242" s="129"/>
      <c r="S242" s="129"/>
      <c r="T242" s="129"/>
      <c r="U242" s="129"/>
      <c r="V242" s="129"/>
      <c r="W242" s="129"/>
      <c r="X242" s="129"/>
      <c r="Y242" s="129"/>
      <c r="Z242" s="129"/>
      <c r="AA242" s="129"/>
      <c r="AB242" s="129"/>
      <c r="AC242" s="129"/>
      <c r="AD242" s="129"/>
      <c r="AE242" s="129"/>
      <c r="AF242" s="129"/>
      <c r="AG242" s="129"/>
      <c r="AH242" s="129"/>
      <c r="AI242" s="129"/>
      <c r="AK242" s="140"/>
      <c r="AL242" s="129"/>
    </row>
    <row r="243" spans="6:38" hidden="1" x14ac:dyDescent="0.25">
      <c r="F243" s="129"/>
      <c r="G243" s="129"/>
      <c r="H243" s="129"/>
      <c r="I243" s="129"/>
      <c r="J243" s="129"/>
      <c r="K243" s="129"/>
      <c r="L243" s="129"/>
      <c r="M243" s="129"/>
      <c r="N243" s="129"/>
      <c r="O243" s="129"/>
      <c r="P243" s="129"/>
      <c r="Q243" s="129"/>
      <c r="R243" s="129"/>
      <c r="S243" s="129"/>
      <c r="T243" s="129"/>
      <c r="U243" s="129"/>
      <c r="V243" s="129"/>
      <c r="W243" s="129"/>
      <c r="X243" s="129"/>
      <c r="Y243" s="129"/>
      <c r="Z243" s="129"/>
      <c r="AA243" s="129"/>
      <c r="AB243" s="129"/>
      <c r="AC243" s="129"/>
      <c r="AD243" s="129"/>
      <c r="AE243" s="129"/>
      <c r="AF243" s="129"/>
      <c r="AG243" s="129"/>
      <c r="AH243" s="129"/>
      <c r="AI243" s="129"/>
      <c r="AK243" s="140"/>
      <c r="AL243" s="129"/>
    </row>
    <row r="244" spans="6:38" hidden="1" x14ac:dyDescent="0.25">
      <c r="F244" s="129"/>
      <c r="G244" s="129"/>
      <c r="H244" s="129"/>
      <c r="I244" s="129"/>
      <c r="J244" s="129"/>
      <c r="K244" s="129"/>
      <c r="L244" s="129"/>
      <c r="M244" s="129"/>
      <c r="N244" s="129"/>
      <c r="O244" s="129"/>
      <c r="P244" s="129"/>
      <c r="Q244" s="129"/>
      <c r="R244" s="129"/>
      <c r="S244" s="129"/>
      <c r="T244" s="129"/>
      <c r="U244" s="129"/>
      <c r="V244" s="129"/>
      <c r="W244" s="129"/>
      <c r="X244" s="129"/>
      <c r="Y244" s="129"/>
      <c r="Z244" s="129"/>
      <c r="AA244" s="129"/>
      <c r="AB244" s="129"/>
      <c r="AC244" s="129"/>
      <c r="AD244" s="129"/>
      <c r="AE244" s="129"/>
      <c r="AF244" s="129"/>
      <c r="AG244" s="129"/>
      <c r="AH244" s="129"/>
      <c r="AI244" s="129"/>
      <c r="AK244" s="140"/>
      <c r="AL244" s="129"/>
    </row>
    <row r="245" spans="6:38" hidden="1" x14ac:dyDescent="0.25">
      <c r="F245" s="129"/>
      <c r="G245" s="129"/>
      <c r="H245" s="129"/>
      <c r="I245" s="129"/>
      <c r="J245" s="129"/>
      <c r="K245" s="129"/>
      <c r="L245" s="129"/>
      <c r="M245" s="129"/>
      <c r="N245" s="129"/>
      <c r="O245" s="129"/>
      <c r="P245" s="129"/>
      <c r="Q245" s="129"/>
      <c r="R245" s="129"/>
      <c r="S245" s="129"/>
      <c r="T245" s="129"/>
      <c r="U245" s="129"/>
      <c r="V245" s="129"/>
      <c r="W245" s="129"/>
      <c r="X245" s="129"/>
      <c r="Y245" s="129"/>
      <c r="Z245" s="129"/>
      <c r="AA245" s="129"/>
      <c r="AB245" s="129"/>
      <c r="AC245" s="129"/>
      <c r="AD245" s="129"/>
      <c r="AE245" s="129"/>
      <c r="AF245" s="129"/>
      <c r="AG245" s="129"/>
      <c r="AH245" s="129"/>
      <c r="AI245" s="129"/>
      <c r="AK245" s="140"/>
      <c r="AL245" s="129"/>
    </row>
    <row r="246" spans="6:38" hidden="1" x14ac:dyDescent="0.25">
      <c r="F246" s="129"/>
      <c r="G246" s="129"/>
      <c r="H246" s="129"/>
      <c r="I246" s="129"/>
      <c r="J246" s="129"/>
      <c r="K246" s="129"/>
      <c r="L246" s="129"/>
      <c r="M246" s="129"/>
      <c r="N246" s="129"/>
      <c r="O246" s="129"/>
      <c r="P246" s="129"/>
      <c r="Q246" s="129"/>
      <c r="R246" s="129"/>
      <c r="S246" s="129"/>
      <c r="T246" s="129"/>
      <c r="U246" s="129"/>
      <c r="V246" s="129"/>
      <c r="W246" s="129"/>
      <c r="X246" s="129"/>
      <c r="Y246" s="129"/>
      <c r="Z246" s="129"/>
      <c r="AA246" s="129"/>
      <c r="AB246" s="129"/>
      <c r="AC246" s="129"/>
      <c r="AD246" s="129"/>
      <c r="AE246" s="129"/>
      <c r="AF246" s="129"/>
      <c r="AG246" s="129"/>
      <c r="AH246" s="129"/>
      <c r="AI246" s="129"/>
      <c r="AK246" s="140"/>
      <c r="AL246" s="129"/>
    </row>
    <row r="247" spans="6:38" hidden="1" x14ac:dyDescent="0.25">
      <c r="F247" s="129"/>
      <c r="G247" s="129"/>
      <c r="H247" s="129"/>
      <c r="I247" s="129"/>
      <c r="J247" s="129"/>
      <c r="K247" s="129"/>
      <c r="L247" s="129"/>
      <c r="M247" s="129"/>
      <c r="N247" s="129"/>
      <c r="O247" s="129"/>
      <c r="P247" s="129"/>
      <c r="Q247" s="129"/>
      <c r="R247" s="129"/>
      <c r="S247" s="129"/>
      <c r="T247" s="129"/>
      <c r="U247" s="129"/>
      <c r="V247" s="129"/>
      <c r="W247" s="129"/>
      <c r="X247" s="129"/>
      <c r="Y247" s="129"/>
      <c r="Z247" s="129"/>
      <c r="AA247" s="129"/>
      <c r="AB247" s="129"/>
      <c r="AC247" s="129"/>
      <c r="AD247" s="129"/>
      <c r="AE247" s="129"/>
      <c r="AF247" s="129"/>
      <c r="AG247" s="129"/>
      <c r="AH247" s="129"/>
      <c r="AI247" s="129"/>
      <c r="AK247" s="140"/>
      <c r="AL247" s="129"/>
    </row>
    <row r="248" spans="6:38" hidden="1" x14ac:dyDescent="0.25">
      <c r="F248" s="129"/>
      <c r="G248" s="129"/>
      <c r="H248" s="129"/>
      <c r="I248" s="129"/>
      <c r="J248" s="129"/>
      <c r="K248" s="129"/>
      <c r="L248" s="129"/>
      <c r="M248" s="129"/>
      <c r="N248" s="129"/>
      <c r="O248" s="129"/>
      <c r="P248" s="129"/>
      <c r="Q248" s="129"/>
      <c r="R248" s="129"/>
      <c r="S248" s="129"/>
      <c r="T248" s="129"/>
      <c r="U248" s="129"/>
      <c r="V248" s="129"/>
      <c r="W248" s="129"/>
      <c r="X248" s="129"/>
      <c r="Y248" s="129"/>
      <c r="Z248" s="129"/>
      <c r="AA248" s="129"/>
      <c r="AB248" s="129"/>
      <c r="AC248" s="129"/>
      <c r="AD248" s="129"/>
      <c r="AE248" s="129"/>
      <c r="AF248" s="129"/>
      <c r="AG248" s="129"/>
      <c r="AH248" s="129"/>
      <c r="AI248" s="129"/>
      <c r="AK248" s="140"/>
      <c r="AL248" s="129"/>
    </row>
    <row r="249" spans="6:38" hidden="1" x14ac:dyDescent="0.25">
      <c r="F249" s="129"/>
      <c r="G249" s="129"/>
      <c r="H249" s="129"/>
      <c r="I249" s="129"/>
      <c r="J249" s="129"/>
      <c r="K249" s="129"/>
      <c r="L249" s="129"/>
      <c r="M249" s="129"/>
      <c r="N249" s="129"/>
      <c r="O249" s="129"/>
      <c r="P249" s="129"/>
      <c r="Q249" s="129"/>
      <c r="R249" s="129"/>
      <c r="S249" s="129"/>
      <c r="T249" s="129"/>
      <c r="U249" s="129"/>
      <c r="V249" s="129"/>
      <c r="W249" s="129"/>
      <c r="X249" s="129"/>
      <c r="Y249" s="129"/>
      <c r="Z249" s="129"/>
      <c r="AA249" s="129"/>
      <c r="AB249" s="129"/>
      <c r="AC249" s="129"/>
      <c r="AD249" s="129"/>
      <c r="AE249" s="129"/>
      <c r="AF249" s="129"/>
      <c r="AG249" s="129"/>
      <c r="AH249" s="129"/>
      <c r="AI249" s="129"/>
      <c r="AK249" s="140"/>
      <c r="AL249" s="129"/>
    </row>
    <row r="250" spans="6:38" hidden="1" x14ac:dyDescent="0.25">
      <c r="F250" s="129"/>
      <c r="G250" s="129"/>
      <c r="H250" s="129"/>
      <c r="I250" s="129"/>
      <c r="J250" s="129"/>
      <c r="K250" s="129"/>
      <c r="L250" s="129"/>
      <c r="M250" s="129"/>
      <c r="N250" s="129"/>
      <c r="O250" s="129"/>
      <c r="P250" s="129"/>
      <c r="Q250" s="129"/>
      <c r="R250" s="129"/>
      <c r="S250" s="129"/>
      <c r="T250" s="129"/>
      <c r="U250" s="129"/>
      <c r="V250" s="129"/>
      <c r="W250" s="129"/>
      <c r="X250" s="129"/>
      <c r="Y250" s="129"/>
      <c r="Z250" s="129"/>
      <c r="AA250" s="129"/>
      <c r="AB250" s="129"/>
      <c r="AC250" s="129"/>
      <c r="AD250" s="129"/>
      <c r="AE250" s="129"/>
      <c r="AF250" s="129"/>
      <c r="AG250" s="129"/>
      <c r="AH250" s="129"/>
      <c r="AI250" s="129"/>
      <c r="AK250" s="140"/>
      <c r="AL250" s="129"/>
    </row>
    <row r="251" spans="6:38" hidden="1" x14ac:dyDescent="0.25">
      <c r="F251" s="129"/>
      <c r="G251" s="129"/>
      <c r="H251" s="129"/>
      <c r="I251" s="129"/>
      <c r="J251" s="129"/>
      <c r="K251" s="129"/>
      <c r="L251" s="129"/>
      <c r="M251" s="129"/>
      <c r="N251" s="129"/>
      <c r="O251" s="129"/>
      <c r="P251" s="129"/>
      <c r="Q251" s="129"/>
      <c r="R251" s="129"/>
      <c r="S251" s="129"/>
      <c r="T251" s="129"/>
      <c r="U251" s="129"/>
      <c r="V251" s="129"/>
      <c r="W251" s="129"/>
      <c r="X251" s="129"/>
      <c r="Y251" s="129"/>
      <c r="Z251" s="129"/>
      <c r="AA251" s="129"/>
      <c r="AB251" s="129"/>
      <c r="AC251" s="129"/>
      <c r="AD251" s="129"/>
      <c r="AE251" s="129"/>
      <c r="AF251" s="129"/>
      <c r="AG251" s="129"/>
      <c r="AH251" s="129"/>
      <c r="AI251" s="129"/>
      <c r="AK251" s="140"/>
      <c r="AL251" s="129"/>
    </row>
    <row r="252" spans="6:38" hidden="1" x14ac:dyDescent="0.25">
      <c r="F252" s="129"/>
      <c r="G252" s="129"/>
      <c r="H252" s="129"/>
      <c r="I252" s="129"/>
      <c r="J252" s="129"/>
      <c r="K252" s="129"/>
      <c r="L252" s="129"/>
      <c r="M252" s="129"/>
      <c r="N252" s="129"/>
      <c r="O252" s="129"/>
      <c r="P252" s="129"/>
      <c r="Q252" s="129"/>
      <c r="R252" s="129"/>
      <c r="S252" s="129"/>
      <c r="T252" s="129"/>
      <c r="U252" s="129"/>
      <c r="V252" s="129"/>
      <c r="W252" s="129"/>
      <c r="X252" s="129"/>
      <c r="Y252" s="129"/>
      <c r="Z252" s="129"/>
      <c r="AA252" s="129"/>
      <c r="AB252" s="129"/>
      <c r="AC252" s="129"/>
      <c r="AD252" s="129"/>
      <c r="AE252" s="129"/>
      <c r="AF252" s="129"/>
      <c r="AG252" s="129"/>
      <c r="AH252" s="129"/>
      <c r="AI252" s="129"/>
      <c r="AK252" s="140"/>
      <c r="AL252" s="129"/>
    </row>
    <row r="253" spans="6:38" hidden="1" x14ac:dyDescent="0.25">
      <c r="F253" s="129"/>
      <c r="G253" s="129"/>
      <c r="H253" s="129"/>
      <c r="I253" s="129"/>
      <c r="J253" s="129"/>
      <c r="K253" s="129"/>
      <c r="L253" s="129"/>
      <c r="M253" s="129"/>
      <c r="N253" s="129"/>
      <c r="O253" s="129"/>
      <c r="P253" s="129"/>
      <c r="Q253" s="129"/>
      <c r="R253" s="129"/>
      <c r="S253" s="129"/>
      <c r="T253" s="129"/>
      <c r="U253" s="129"/>
      <c r="V253" s="129"/>
      <c r="W253" s="129"/>
      <c r="X253" s="129"/>
      <c r="Y253" s="129"/>
      <c r="Z253" s="129"/>
      <c r="AA253" s="129"/>
      <c r="AB253" s="129"/>
      <c r="AC253" s="129"/>
      <c r="AD253" s="129"/>
      <c r="AE253" s="129"/>
      <c r="AF253" s="129"/>
      <c r="AG253" s="129"/>
      <c r="AH253" s="129"/>
      <c r="AI253" s="129"/>
      <c r="AK253" s="140"/>
      <c r="AL253" s="129"/>
    </row>
    <row r="254" spans="6:38" hidden="1" x14ac:dyDescent="0.25">
      <c r="F254" s="129"/>
      <c r="G254" s="129"/>
      <c r="H254" s="129"/>
      <c r="I254" s="129"/>
      <c r="J254" s="129"/>
      <c r="K254" s="129"/>
      <c r="L254" s="129"/>
      <c r="M254" s="129"/>
      <c r="N254" s="129"/>
      <c r="O254" s="129"/>
      <c r="P254" s="129"/>
      <c r="Q254" s="129"/>
      <c r="R254" s="129"/>
      <c r="S254" s="129"/>
      <c r="T254" s="129"/>
      <c r="U254" s="129"/>
      <c r="V254" s="129"/>
      <c r="W254" s="129"/>
      <c r="X254" s="129"/>
      <c r="Y254" s="129"/>
      <c r="Z254" s="129"/>
      <c r="AA254" s="129"/>
      <c r="AB254" s="129"/>
      <c r="AC254" s="129"/>
      <c r="AD254" s="129"/>
      <c r="AE254" s="129"/>
      <c r="AF254" s="129"/>
      <c r="AG254" s="129"/>
      <c r="AH254" s="129"/>
      <c r="AI254" s="129"/>
      <c r="AK254" s="140"/>
      <c r="AL254" s="129"/>
    </row>
    <row r="255" spans="6:38" hidden="1" x14ac:dyDescent="0.25">
      <c r="F255" s="129"/>
      <c r="G255" s="129"/>
      <c r="H255" s="129"/>
      <c r="I255" s="129"/>
      <c r="J255" s="129"/>
      <c r="K255" s="129"/>
      <c r="L255" s="129"/>
      <c r="M255" s="129"/>
      <c r="N255" s="129"/>
      <c r="O255" s="129"/>
      <c r="P255" s="129"/>
      <c r="Q255" s="129"/>
      <c r="R255" s="129"/>
      <c r="S255" s="129"/>
      <c r="T255" s="129"/>
      <c r="U255" s="129"/>
      <c r="V255" s="129"/>
      <c r="W255" s="129"/>
      <c r="X255" s="129"/>
      <c r="Y255" s="129"/>
      <c r="Z255" s="129"/>
      <c r="AA255" s="129"/>
      <c r="AB255" s="129"/>
      <c r="AC255" s="129"/>
      <c r="AD255" s="129"/>
      <c r="AE255" s="129"/>
      <c r="AF255" s="129"/>
      <c r="AG255" s="129"/>
      <c r="AH255" s="129"/>
      <c r="AI255" s="129"/>
      <c r="AK255" s="140"/>
      <c r="AL255" s="129"/>
    </row>
    <row r="256" spans="6:38" hidden="1" x14ac:dyDescent="0.25">
      <c r="F256" s="129"/>
      <c r="G256" s="129"/>
      <c r="H256" s="129"/>
      <c r="I256" s="129"/>
      <c r="J256" s="129"/>
      <c r="K256" s="129"/>
      <c r="L256" s="129"/>
      <c r="M256" s="129"/>
      <c r="N256" s="129"/>
      <c r="O256" s="129"/>
      <c r="P256" s="129"/>
      <c r="Q256" s="129"/>
      <c r="R256" s="129"/>
      <c r="S256" s="129"/>
      <c r="T256" s="129"/>
      <c r="U256" s="129"/>
      <c r="V256" s="129"/>
      <c r="W256" s="129"/>
      <c r="X256" s="129"/>
      <c r="Y256" s="129"/>
      <c r="Z256" s="129"/>
      <c r="AA256" s="129"/>
      <c r="AB256" s="129"/>
      <c r="AC256" s="129"/>
      <c r="AD256" s="129"/>
      <c r="AE256" s="129"/>
      <c r="AF256" s="129"/>
      <c r="AG256" s="129"/>
      <c r="AH256" s="129"/>
      <c r="AI256" s="129"/>
      <c r="AK256" s="140"/>
      <c r="AL256" s="129"/>
    </row>
    <row r="257" spans="6:38" hidden="1" x14ac:dyDescent="0.25">
      <c r="F257" s="129"/>
      <c r="G257" s="129"/>
      <c r="H257" s="129"/>
      <c r="I257" s="129"/>
      <c r="J257" s="129"/>
      <c r="K257" s="129"/>
      <c r="L257" s="129"/>
      <c r="M257" s="129"/>
      <c r="N257" s="129"/>
      <c r="O257" s="129"/>
      <c r="P257" s="129"/>
      <c r="Q257" s="129"/>
      <c r="R257" s="129"/>
      <c r="S257" s="129"/>
      <c r="T257" s="129"/>
      <c r="U257" s="129"/>
      <c r="V257" s="129"/>
      <c r="W257" s="129"/>
      <c r="X257" s="129"/>
      <c r="Y257" s="129"/>
      <c r="Z257" s="129"/>
      <c r="AA257" s="129"/>
      <c r="AB257" s="129"/>
      <c r="AC257" s="129"/>
      <c r="AD257" s="129"/>
      <c r="AE257" s="129"/>
      <c r="AF257" s="129"/>
      <c r="AG257" s="129"/>
      <c r="AH257" s="129"/>
      <c r="AI257" s="129"/>
      <c r="AK257" s="140"/>
      <c r="AL257" s="129"/>
    </row>
    <row r="258" spans="6:38" hidden="1" x14ac:dyDescent="0.25">
      <c r="F258" s="129"/>
      <c r="G258" s="129"/>
      <c r="H258" s="129"/>
      <c r="I258" s="129"/>
      <c r="J258" s="129"/>
      <c r="K258" s="129"/>
      <c r="L258" s="129"/>
      <c r="M258" s="129"/>
      <c r="N258" s="129"/>
      <c r="O258" s="129"/>
      <c r="P258" s="129"/>
      <c r="Q258" s="129"/>
      <c r="R258" s="129"/>
      <c r="S258" s="129"/>
      <c r="T258" s="129"/>
      <c r="U258" s="129"/>
      <c r="V258" s="129"/>
      <c r="W258" s="129"/>
      <c r="X258" s="129"/>
      <c r="Y258" s="129"/>
      <c r="Z258" s="129"/>
      <c r="AA258" s="129"/>
      <c r="AB258" s="129"/>
      <c r="AC258" s="129"/>
      <c r="AD258" s="129"/>
      <c r="AE258" s="129"/>
      <c r="AF258" s="129"/>
      <c r="AG258" s="129"/>
      <c r="AH258" s="129"/>
      <c r="AI258" s="129"/>
      <c r="AK258" s="140"/>
      <c r="AL258" s="129"/>
    </row>
    <row r="259" spans="6:38" hidden="1" x14ac:dyDescent="0.25">
      <c r="F259" s="129"/>
      <c r="G259" s="129"/>
      <c r="H259" s="129"/>
      <c r="I259" s="129"/>
      <c r="J259" s="129"/>
      <c r="K259" s="129"/>
      <c r="L259" s="129"/>
      <c r="M259" s="129"/>
      <c r="N259" s="129"/>
      <c r="O259" s="129"/>
      <c r="P259" s="129"/>
      <c r="Q259" s="129"/>
      <c r="R259" s="129"/>
      <c r="S259" s="129"/>
      <c r="T259" s="129"/>
      <c r="U259" s="129"/>
      <c r="V259" s="129"/>
      <c r="W259" s="129"/>
      <c r="X259" s="129"/>
      <c r="Y259" s="129"/>
      <c r="Z259" s="129"/>
      <c r="AA259" s="129"/>
      <c r="AB259" s="129"/>
      <c r="AC259" s="129"/>
      <c r="AD259" s="129"/>
      <c r="AE259" s="129"/>
      <c r="AF259" s="129"/>
      <c r="AG259" s="129"/>
      <c r="AH259" s="129"/>
      <c r="AI259" s="129"/>
      <c r="AK259" s="140"/>
      <c r="AL259" s="129"/>
    </row>
    <row r="260" spans="6:38" hidden="1" x14ac:dyDescent="0.25">
      <c r="F260" s="129"/>
      <c r="G260" s="129"/>
      <c r="H260" s="129"/>
      <c r="I260" s="129"/>
      <c r="J260" s="129"/>
      <c r="K260" s="129"/>
      <c r="L260" s="129"/>
      <c r="M260" s="129"/>
      <c r="N260" s="129"/>
      <c r="O260" s="129"/>
      <c r="P260" s="129"/>
      <c r="Q260" s="129"/>
      <c r="R260" s="129"/>
      <c r="S260" s="129"/>
      <c r="T260" s="129"/>
      <c r="U260" s="129"/>
      <c r="V260" s="129"/>
      <c r="W260" s="129"/>
      <c r="X260" s="129"/>
      <c r="Y260" s="129"/>
      <c r="Z260" s="129"/>
      <c r="AA260" s="129"/>
      <c r="AB260" s="129"/>
      <c r="AC260" s="129"/>
      <c r="AD260" s="129"/>
      <c r="AE260" s="129"/>
      <c r="AF260" s="129"/>
      <c r="AG260" s="129"/>
      <c r="AH260" s="129"/>
      <c r="AI260" s="129"/>
      <c r="AK260" s="140"/>
      <c r="AL260" s="129"/>
    </row>
    <row r="261" spans="6:38" hidden="1" x14ac:dyDescent="0.25">
      <c r="F261" s="129"/>
      <c r="G261" s="129"/>
      <c r="H261" s="129"/>
      <c r="I261" s="129"/>
      <c r="J261" s="129"/>
      <c r="K261" s="129"/>
      <c r="L261" s="129"/>
      <c r="M261" s="129"/>
      <c r="N261" s="129"/>
      <c r="O261" s="129"/>
      <c r="P261" s="129"/>
      <c r="Q261" s="129"/>
      <c r="R261" s="129"/>
      <c r="S261" s="129"/>
      <c r="T261" s="129"/>
      <c r="U261" s="129"/>
      <c r="V261" s="129"/>
      <c r="W261" s="129"/>
      <c r="X261" s="129"/>
      <c r="Y261" s="129"/>
      <c r="Z261" s="129"/>
      <c r="AA261" s="129"/>
      <c r="AB261" s="129"/>
      <c r="AC261" s="129"/>
      <c r="AD261" s="129"/>
      <c r="AE261" s="129"/>
      <c r="AF261" s="129"/>
      <c r="AG261" s="129"/>
      <c r="AH261" s="129"/>
      <c r="AI261" s="129"/>
      <c r="AK261" s="140"/>
      <c r="AL261" s="129"/>
    </row>
    <row r="262" spans="6:38" hidden="1" x14ac:dyDescent="0.25">
      <c r="F262" s="129"/>
      <c r="G262" s="129"/>
      <c r="H262" s="129"/>
      <c r="I262" s="129"/>
      <c r="J262" s="129"/>
      <c r="K262" s="129"/>
      <c r="L262" s="129"/>
      <c r="M262" s="129"/>
      <c r="N262" s="129"/>
      <c r="O262" s="129"/>
      <c r="P262" s="129"/>
      <c r="Q262" s="129"/>
      <c r="R262" s="129"/>
      <c r="S262" s="129"/>
      <c r="T262" s="129"/>
      <c r="U262" s="129"/>
      <c r="V262" s="129"/>
      <c r="W262" s="129"/>
      <c r="X262" s="129"/>
      <c r="Y262" s="129"/>
      <c r="Z262" s="129"/>
      <c r="AA262" s="129"/>
      <c r="AB262" s="129"/>
      <c r="AC262" s="129"/>
      <c r="AD262" s="129"/>
      <c r="AE262" s="129"/>
      <c r="AF262" s="129"/>
      <c r="AG262" s="129"/>
      <c r="AH262" s="129"/>
      <c r="AI262" s="129"/>
      <c r="AK262" s="140"/>
      <c r="AL262" s="129"/>
    </row>
    <row r="263" spans="6:38" hidden="1" x14ac:dyDescent="0.25">
      <c r="F263" s="129"/>
      <c r="G263" s="129"/>
      <c r="H263" s="129"/>
      <c r="I263" s="129"/>
      <c r="J263" s="129"/>
      <c r="K263" s="129"/>
      <c r="L263" s="129"/>
      <c r="M263" s="129"/>
      <c r="N263" s="129"/>
      <c r="O263" s="129"/>
      <c r="P263" s="129"/>
      <c r="Q263" s="129"/>
      <c r="R263" s="129"/>
      <c r="S263" s="129"/>
      <c r="T263" s="129"/>
      <c r="U263" s="129"/>
      <c r="V263" s="129"/>
      <c r="W263" s="129"/>
      <c r="X263" s="129"/>
      <c r="Y263" s="129"/>
      <c r="Z263" s="129"/>
      <c r="AA263" s="129"/>
      <c r="AB263" s="129"/>
      <c r="AC263" s="129"/>
      <c r="AD263" s="129"/>
      <c r="AE263" s="129"/>
      <c r="AF263" s="129"/>
      <c r="AG263" s="129"/>
      <c r="AH263" s="129"/>
      <c r="AI263" s="129"/>
      <c r="AK263" s="140"/>
      <c r="AL263" s="129"/>
    </row>
    <row r="264" spans="6:38" hidden="1" x14ac:dyDescent="0.25">
      <c r="F264" s="129"/>
      <c r="G264" s="129"/>
      <c r="H264" s="129"/>
      <c r="I264" s="129"/>
      <c r="J264" s="129"/>
      <c r="K264" s="129"/>
      <c r="L264" s="129"/>
      <c r="M264" s="129"/>
      <c r="N264" s="129"/>
      <c r="O264" s="129"/>
      <c r="P264" s="129"/>
      <c r="Q264" s="129"/>
      <c r="R264" s="129"/>
      <c r="S264" s="129"/>
      <c r="T264" s="129"/>
      <c r="U264" s="129"/>
      <c r="V264" s="129"/>
      <c r="W264" s="129"/>
      <c r="X264" s="129"/>
      <c r="Y264" s="129"/>
      <c r="Z264" s="129"/>
      <c r="AA264" s="129"/>
      <c r="AB264" s="129"/>
      <c r="AC264" s="129"/>
      <c r="AD264" s="129"/>
      <c r="AE264" s="129"/>
      <c r="AF264" s="129"/>
      <c r="AG264" s="129"/>
      <c r="AH264" s="129"/>
      <c r="AI264" s="129"/>
      <c r="AK264" s="140"/>
      <c r="AL264" s="129"/>
    </row>
    <row r="265" spans="6:38" hidden="1" x14ac:dyDescent="0.25">
      <c r="F265" s="129"/>
      <c r="G265" s="129"/>
      <c r="H265" s="129"/>
      <c r="I265" s="129"/>
      <c r="J265" s="129"/>
      <c r="K265" s="129"/>
      <c r="L265" s="129"/>
      <c r="M265" s="129"/>
      <c r="N265" s="129"/>
      <c r="O265" s="129"/>
      <c r="P265" s="129"/>
      <c r="Q265" s="129"/>
      <c r="R265" s="129"/>
      <c r="S265" s="129"/>
      <c r="T265" s="129"/>
      <c r="U265" s="129"/>
      <c r="V265" s="129"/>
      <c r="W265" s="129"/>
      <c r="X265" s="129"/>
      <c r="Y265" s="129"/>
      <c r="Z265" s="129"/>
      <c r="AA265" s="129"/>
      <c r="AB265" s="129"/>
      <c r="AC265" s="129"/>
      <c r="AD265" s="129"/>
      <c r="AE265" s="129"/>
      <c r="AF265" s="129"/>
      <c r="AG265" s="129"/>
      <c r="AH265" s="129"/>
      <c r="AI265" s="129"/>
      <c r="AK265" s="140"/>
      <c r="AL265" s="129"/>
    </row>
    <row r="266" spans="6:38" hidden="1" x14ac:dyDescent="0.25">
      <c r="F266" s="129"/>
      <c r="G266" s="129"/>
      <c r="H266" s="129"/>
      <c r="I266" s="129"/>
      <c r="J266" s="129"/>
      <c r="K266" s="129"/>
      <c r="L266" s="129"/>
      <c r="M266" s="129"/>
      <c r="N266" s="129"/>
      <c r="O266" s="129"/>
      <c r="P266" s="129"/>
      <c r="Q266" s="129"/>
      <c r="R266" s="129"/>
      <c r="S266" s="129"/>
      <c r="T266" s="129"/>
      <c r="U266" s="129"/>
      <c r="V266" s="129"/>
      <c r="W266" s="129"/>
      <c r="X266" s="129"/>
      <c r="Y266" s="129"/>
      <c r="Z266" s="129"/>
      <c r="AA266" s="129"/>
      <c r="AB266" s="129"/>
      <c r="AC266" s="129"/>
      <c r="AD266" s="129"/>
      <c r="AE266" s="129"/>
      <c r="AF266" s="129"/>
      <c r="AG266" s="129"/>
      <c r="AH266" s="129"/>
      <c r="AI266" s="129"/>
      <c r="AK266" s="140"/>
      <c r="AL266" s="129"/>
    </row>
    <row r="267" spans="6:38" hidden="1" x14ac:dyDescent="0.25">
      <c r="F267" s="129"/>
      <c r="G267" s="129"/>
      <c r="H267" s="129"/>
      <c r="I267" s="129"/>
      <c r="J267" s="129"/>
      <c r="K267" s="129"/>
      <c r="L267" s="129"/>
      <c r="M267" s="129"/>
      <c r="N267" s="129"/>
      <c r="O267" s="129"/>
      <c r="P267" s="129"/>
      <c r="Q267" s="129"/>
      <c r="R267" s="129"/>
      <c r="S267" s="129"/>
      <c r="T267" s="129"/>
      <c r="U267" s="129"/>
      <c r="V267" s="129"/>
      <c r="W267" s="129"/>
      <c r="X267" s="129"/>
      <c r="Y267" s="129"/>
      <c r="Z267" s="129"/>
      <c r="AA267" s="129"/>
      <c r="AB267" s="129"/>
      <c r="AC267" s="129"/>
      <c r="AD267" s="129"/>
      <c r="AE267" s="129"/>
      <c r="AF267" s="129"/>
      <c r="AG267" s="129"/>
      <c r="AH267" s="129"/>
      <c r="AI267" s="129"/>
      <c r="AK267" s="140"/>
      <c r="AL267" s="129"/>
    </row>
    <row r="268" spans="6:38" hidden="1" x14ac:dyDescent="0.25">
      <c r="F268" s="129"/>
      <c r="G268" s="129"/>
      <c r="H268" s="129"/>
      <c r="I268" s="129"/>
      <c r="J268" s="129"/>
      <c r="K268" s="129"/>
      <c r="L268" s="129"/>
      <c r="M268" s="129"/>
      <c r="N268" s="129"/>
      <c r="O268" s="129"/>
      <c r="P268" s="129"/>
      <c r="Q268" s="129"/>
      <c r="R268" s="129"/>
      <c r="S268" s="129"/>
      <c r="T268" s="129"/>
      <c r="U268" s="129"/>
      <c r="V268" s="129"/>
      <c r="W268" s="129"/>
      <c r="X268" s="129"/>
      <c r="Y268" s="129"/>
      <c r="Z268" s="129"/>
      <c r="AA268" s="129"/>
      <c r="AB268" s="129"/>
      <c r="AC268" s="129"/>
      <c r="AD268" s="129"/>
      <c r="AE268" s="129"/>
      <c r="AF268" s="129"/>
      <c r="AG268" s="129"/>
      <c r="AH268" s="129"/>
      <c r="AI268" s="129"/>
      <c r="AK268" s="140"/>
      <c r="AL268" s="129"/>
    </row>
    <row r="269" spans="6:38" hidden="1" x14ac:dyDescent="0.25">
      <c r="F269" s="129"/>
      <c r="G269" s="129"/>
      <c r="H269" s="129"/>
      <c r="I269" s="129"/>
      <c r="J269" s="129"/>
      <c r="K269" s="129"/>
      <c r="L269" s="129"/>
      <c r="M269" s="129"/>
      <c r="N269" s="129"/>
      <c r="O269" s="129"/>
      <c r="P269" s="129"/>
      <c r="Q269" s="129"/>
      <c r="R269" s="129"/>
      <c r="S269" s="129"/>
      <c r="T269" s="129"/>
      <c r="U269" s="129"/>
      <c r="V269" s="129"/>
      <c r="W269" s="129"/>
      <c r="X269" s="129"/>
      <c r="Y269" s="129"/>
      <c r="Z269" s="129"/>
      <c r="AA269" s="129"/>
      <c r="AB269" s="129"/>
      <c r="AC269" s="129"/>
      <c r="AD269" s="129"/>
      <c r="AE269" s="129"/>
      <c r="AF269" s="129"/>
      <c r="AG269" s="129"/>
      <c r="AH269" s="129"/>
      <c r="AI269" s="129"/>
      <c r="AK269" s="140"/>
      <c r="AL269" s="129"/>
    </row>
    <row r="270" spans="6:38" hidden="1" x14ac:dyDescent="0.25">
      <c r="F270" s="129"/>
      <c r="G270" s="129"/>
      <c r="H270" s="129"/>
      <c r="I270" s="129"/>
      <c r="J270" s="129"/>
      <c r="K270" s="129"/>
      <c r="L270" s="129"/>
      <c r="M270" s="129"/>
      <c r="N270" s="129"/>
      <c r="O270" s="129"/>
      <c r="P270" s="129"/>
      <c r="Q270" s="129"/>
      <c r="R270" s="129"/>
      <c r="S270" s="129"/>
      <c r="T270" s="129"/>
      <c r="U270" s="129"/>
      <c r="V270" s="129"/>
      <c r="W270" s="129"/>
      <c r="X270" s="129"/>
      <c r="Y270" s="129"/>
      <c r="Z270" s="129"/>
      <c r="AA270" s="129"/>
      <c r="AB270" s="129"/>
      <c r="AC270" s="129"/>
      <c r="AD270" s="129"/>
      <c r="AE270" s="129"/>
      <c r="AF270" s="129"/>
      <c r="AG270" s="129"/>
      <c r="AH270" s="129"/>
      <c r="AI270" s="129"/>
      <c r="AK270" s="140"/>
      <c r="AL270" s="129"/>
    </row>
    <row r="271" spans="6:38" hidden="1" x14ac:dyDescent="0.25">
      <c r="F271" s="129"/>
      <c r="G271" s="129"/>
      <c r="H271" s="129"/>
      <c r="I271" s="129"/>
      <c r="J271" s="129"/>
      <c r="K271" s="129"/>
      <c r="L271" s="129"/>
      <c r="M271" s="129"/>
      <c r="N271" s="129"/>
      <c r="O271" s="129"/>
      <c r="P271" s="129"/>
      <c r="Q271" s="129"/>
      <c r="R271" s="129"/>
      <c r="S271" s="129"/>
      <c r="T271" s="129"/>
      <c r="U271" s="129"/>
      <c r="V271" s="129"/>
      <c r="W271" s="129"/>
      <c r="X271" s="129"/>
      <c r="Y271" s="129"/>
      <c r="Z271" s="129"/>
      <c r="AA271" s="129"/>
      <c r="AB271" s="129"/>
      <c r="AC271" s="129"/>
      <c r="AD271" s="129"/>
      <c r="AE271" s="129"/>
      <c r="AF271" s="129"/>
      <c r="AG271" s="129"/>
      <c r="AH271" s="129"/>
      <c r="AI271" s="129"/>
      <c r="AK271" s="140"/>
      <c r="AL271" s="129"/>
    </row>
    <row r="272" spans="6:38" hidden="1" x14ac:dyDescent="0.25">
      <c r="F272" s="129"/>
      <c r="G272" s="129"/>
      <c r="H272" s="129"/>
      <c r="I272" s="129"/>
      <c r="J272" s="129"/>
      <c r="K272" s="129"/>
      <c r="L272" s="129"/>
      <c r="M272" s="129"/>
      <c r="N272" s="129"/>
      <c r="O272" s="129"/>
      <c r="P272" s="129"/>
      <c r="Q272" s="129"/>
      <c r="R272" s="129"/>
      <c r="S272" s="129"/>
      <c r="T272" s="129"/>
      <c r="U272" s="129"/>
      <c r="V272" s="129"/>
      <c r="W272" s="129"/>
      <c r="X272" s="129"/>
      <c r="Y272" s="129"/>
      <c r="Z272" s="129"/>
      <c r="AA272" s="129"/>
      <c r="AB272" s="129"/>
      <c r="AC272" s="129"/>
      <c r="AD272" s="129"/>
      <c r="AE272" s="129"/>
      <c r="AF272" s="129"/>
      <c r="AG272" s="129"/>
      <c r="AH272" s="129"/>
      <c r="AI272" s="129"/>
      <c r="AK272" s="140"/>
      <c r="AL272" s="129"/>
    </row>
    <row r="273" spans="6:38" hidden="1" x14ac:dyDescent="0.25">
      <c r="F273" s="129"/>
      <c r="G273" s="129"/>
      <c r="H273" s="129"/>
      <c r="I273" s="129"/>
      <c r="J273" s="129"/>
      <c r="K273" s="129"/>
      <c r="L273" s="129"/>
      <c r="M273" s="129"/>
      <c r="N273" s="129"/>
      <c r="O273" s="129"/>
      <c r="P273" s="129"/>
      <c r="Q273" s="129"/>
      <c r="R273" s="129"/>
      <c r="S273" s="129"/>
      <c r="T273" s="129"/>
      <c r="U273" s="129"/>
      <c r="V273" s="129"/>
      <c r="W273" s="129"/>
      <c r="X273" s="129"/>
      <c r="Y273" s="129"/>
      <c r="Z273" s="129"/>
      <c r="AA273" s="129"/>
      <c r="AB273" s="129"/>
      <c r="AC273" s="129"/>
      <c r="AD273" s="129"/>
      <c r="AE273" s="129"/>
      <c r="AF273" s="129"/>
      <c r="AG273" s="129"/>
      <c r="AH273" s="129"/>
      <c r="AI273" s="129"/>
      <c r="AK273" s="140"/>
      <c r="AL273" s="129"/>
    </row>
    <row r="274" spans="6:38" hidden="1" x14ac:dyDescent="0.25">
      <c r="F274" s="129"/>
      <c r="G274" s="129"/>
      <c r="H274" s="129"/>
      <c r="I274" s="129"/>
      <c r="J274" s="129"/>
      <c r="K274" s="129"/>
      <c r="L274" s="129"/>
      <c r="M274" s="129"/>
      <c r="N274" s="129"/>
      <c r="O274" s="129"/>
      <c r="P274" s="129"/>
      <c r="Q274" s="129"/>
      <c r="R274" s="129"/>
      <c r="S274" s="129"/>
      <c r="T274" s="129"/>
      <c r="U274" s="129"/>
      <c r="V274" s="129"/>
      <c r="W274" s="129"/>
      <c r="X274" s="129"/>
      <c r="Y274" s="129"/>
      <c r="Z274" s="129"/>
      <c r="AA274" s="129"/>
      <c r="AB274" s="129"/>
      <c r="AC274" s="129"/>
      <c r="AD274" s="129"/>
      <c r="AE274" s="129"/>
      <c r="AF274" s="129"/>
      <c r="AG274" s="129"/>
      <c r="AH274" s="129"/>
      <c r="AI274" s="129"/>
      <c r="AK274" s="140"/>
      <c r="AL274" s="129"/>
    </row>
    <row r="275" spans="6:38" hidden="1" x14ac:dyDescent="0.25">
      <c r="F275" s="129"/>
      <c r="G275" s="129"/>
      <c r="H275" s="129"/>
      <c r="I275" s="129"/>
      <c r="J275" s="129"/>
      <c r="K275" s="129"/>
      <c r="L275" s="129"/>
      <c r="M275" s="129"/>
      <c r="N275" s="129"/>
      <c r="O275" s="129"/>
      <c r="P275" s="129"/>
      <c r="Q275" s="129"/>
      <c r="R275" s="129"/>
      <c r="S275" s="129"/>
      <c r="T275" s="129"/>
      <c r="U275" s="129"/>
      <c r="V275" s="129"/>
      <c r="W275" s="129"/>
      <c r="X275" s="129"/>
      <c r="Y275" s="129"/>
      <c r="Z275" s="129"/>
      <c r="AA275" s="129"/>
      <c r="AB275" s="129"/>
      <c r="AC275" s="129"/>
      <c r="AD275" s="129"/>
      <c r="AE275" s="129"/>
      <c r="AF275" s="129"/>
      <c r="AG275" s="129"/>
      <c r="AH275" s="129"/>
      <c r="AI275" s="129"/>
      <c r="AK275" s="140"/>
      <c r="AL275" s="129"/>
    </row>
    <row r="276" spans="6:38" hidden="1" x14ac:dyDescent="0.25">
      <c r="F276" s="129"/>
      <c r="G276" s="129"/>
      <c r="H276" s="129"/>
      <c r="I276" s="129"/>
      <c r="J276" s="129"/>
      <c r="K276" s="129"/>
      <c r="L276" s="129"/>
      <c r="M276" s="129"/>
      <c r="N276" s="129"/>
      <c r="O276" s="129"/>
      <c r="P276" s="129"/>
      <c r="Q276" s="129"/>
      <c r="R276" s="129"/>
      <c r="S276" s="129"/>
      <c r="T276" s="129"/>
      <c r="U276" s="129"/>
      <c r="V276" s="129"/>
      <c r="W276" s="129"/>
      <c r="X276" s="129"/>
      <c r="Y276" s="129"/>
      <c r="Z276" s="129"/>
      <c r="AA276" s="129"/>
      <c r="AB276" s="129"/>
      <c r="AC276" s="129"/>
      <c r="AD276" s="129"/>
      <c r="AE276" s="129"/>
      <c r="AF276" s="129"/>
      <c r="AG276" s="129"/>
      <c r="AH276" s="129"/>
      <c r="AI276" s="129"/>
      <c r="AK276" s="140"/>
      <c r="AL276" s="129"/>
    </row>
    <row r="277" spans="6:38" hidden="1" x14ac:dyDescent="0.25">
      <c r="F277" s="129"/>
      <c r="G277" s="129"/>
      <c r="H277" s="129"/>
      <c r="I277" s="129"/>
      <c r="J277" s="129"/>
      <c r="K277" s="129"/>
      <c r="L277" s="129"/>
      <c r="M277" s="129"/>
      <c r="N277" s="129"/>
      <c r="O277" s="129"/>
      <c r="P277" s="129"/>
      <c r="Q277" s="129"/>
      <c r="R277" s="129"/>
      <c r="S277" s="129"/>
      <c r="T277" s="129"/>
      <c r="U277" s="129"/>
      <c r="V277" s="129"/>
      <c r="W277" s="129"/>
      <c r="X277" s="129"/>
      <c r="Y277" s="129"/>
      <c r="Z277" s="129"/>
      <c r="AA277" s="129"/>
      <c r="AB277" s="129"/>
      <c r="AC277" s="129"/>
      <c r="AD277" s="129"/>
      <c r="AE277" s="129"/>
      <c r="AF277" s="129"/>
      <c r="AG277" s="129"/>
      <c r="AH277" s="129"/>
      <c r="AI277" s="129"/>
      <c r="AK277" s="140"/>
      <c r="AL277" s="129"/>
    </row>
    <row r="278" spans="6:38" hidden="1" x14ac:dyDescent="0.25">
      <c r="F278" s="129"/>
      <c r="G278" s="129"/>
      <c r="H278" s="129"/>
      <c r="I278" s="129"/>
      <c r="J278" s="129"/>
      <c r="K278" s="129"/>
      <c r="L278" s="129"/>
      <c r="M278" s="129"/>
      <c r="N278" s="129"/>
      <c r="O278" s="129"/>
      <c r="P278" s="129"/>
      <c r="Q278" s="129"/>
      <c r="R278" s="129"/>
      <c r="S278" s="129"/>
      <c r="T278" s="129"/>
      <c r="U278" s="129"/>
      <c r="V278" s="129"/>
      <c r="W278" s="129"/>
      <c r="X278" s="129"/>
      <c r="Y278" s="129"/>
      <c r="Z278" s="129"/>
      <c r="AA278" s="129"/>
      <c r="AB278" s="129"/>
      <c r="AC278" s="129"/>
      <c r="AD278" s="129"/>
      <c r="AE278" s="129"/>
      <c r="AF278" s="129"/>
      <c r="AG278" s="129"/>
      <c r="AH278" s="129"/>
      <c r="AI278" s="129"/>
      <c r="AK278" s="140"/>
      <c r="AL278" s="129"/>
    </row>
    <row r="279" spans="6:38" hidden="1" x14ac:dyDescent="0.25">
      <c r="F279" s="129"/>
      <c r="G279" s="129"/>
      <c r="H279" s="129"/>
      <c r="I279" s="129"/>
      <c r="J279" s="129"/>
      <c r="K279" s="129"/>
      <c r="L279" s="129"/>
      <c r="M279" s="129"/>
      <c r="N279" s="129"/>
      <c r="O279" s="129"/>
      <c r="P279" s="129"/>
      <c r="Q279" s="129"/>
      <c r="R279" s="129"/>
      <c r="S279" s="129"/>
      <c r="T279" s="129"/>
      <c r="U279" s="129"/>
      <c r="V279" s="129"/>
      <c r="W279" s="129"/>
      <c r="X279" s="129"/>
      <c r="Y279" s="129"/>
      <c r="Z279" s="129"/>
      <c r="AA279" s="129"/>
      <c r="AB279" s="129"/>
      <c r="AC279" s="129"/>
      <c r="AD279" s="129"/>
      <c r="AE279" s="129"/>
      <c r="AF279" s="129"/>
      <c r="AG279" s="129"/>
      <c r="AH279" s="129"/>
      <c r="AI279" s="129"/>
      <c r="AK279" s="140"/>
      <c r="AL279" s="129"/>
    </row>
    <row r="280" spans="6:38" hidden="1" x14ac:dyDescent="0.25">
      <c r="F280" s="129"/>
      <c r="G280" s="129"/>
      <c r="H280" s="129"/>
      <c r="I280" s="129"/>
      <c r="J280" s="129"/>
      <c r="K280" s="129"/>
      <c r="L280" s="129"/>
      <c r="M280" s="129"/>
      <c r="N280" s="129"/>
      <c r="O280" s="129"/>
      <c r="P280" s="129"/>
      <c r="Q280" s="129"/>
      <c r="R280" s="129"/>
      <c r="S280" s="129"/>
      <c r="T280" s="129"/>
      <c r="U280" s="129"/>
      <c r="V280" s="129"/>
      <c r="W280" s="129"/>
      <c r="X280" s="129"/>
      <c r="Y280" s="129"/>
      <c r="Z280" s="129"/>
      <c r="AA280" s="129"/>
      <c r="AB280" s="129"/>
      <c r="AC280" s="129"/>
      <c r="AD280" s="129"/>
      <c r="AE280" s="129"/>
      <c r="AF280" s="129"/>
      <c r="AG280" s="129"/>
      <c r="AH280" s="129"/>
      <c r="AI280" s="129"/>
      <c r="AK280" s="140"/>
      <c r="AL280" s="129"/>
    </row>
    <row r="281" spans="6:38" hidden="1" x14ac:dyDescent="0.25">
      <c r="F281" s="129"/>
      <c r="G281" s="129"/>
      <c r="H281" s="129"/>
      <c r="I281" s="129"/>
      <c r="J281" s="129"/>
      <c r="K281" s="129"/>
      <c r="L281" s="129"/>
      <c r="M281" s="129"/>
      <c r="N281" s="129"/>
      <c r="O281" s="129"/>
      <c r="P281" s="129"/>
      <c r="Q281" s="129"/>
      <c r="R281" s="129"/>
      <c r="S281" s="129"/>
      <c r="T281" s="129"/>
      <c r="U281" s="129"/>
      <c r="V281" s="129"/>
      <c r="W281" s="129"/>
      <c r="X281" s="129"/>
      <c r="Y281" s="129"/>
      <c r="Z281" s="129"/>
      <c r="AA281" s="129"/>
      <c r="AB281" s="129"/>
      <c r="AC281" s="129"/>
      <c r="AD281" s="129"/>
      <c r="AE281" s="129"/>
      <c r="AF281" s="129"/>
      <c r="AG281" s="129"/>
      <c r="AH281" s="129"/>
      <c r="AI281" s="129"/>
      <c r="AK281" s="140"/>
      <c r="AL281" s="129"/>
    </row>
    <row r="282" spans="6:38" hidden="1" x14ac:dyDescent="0.25">
      <c r="F282" s="129"/>
      <c r="G282" s="129"/>
      <c r="H282" s="129"/>
      <c r="I282" s="129"/>
      <c r="J282" s="129"/>
      <c r="K282" s="129"/>
      <c r="L282" s="129"/>
      <c r="M282" s="129"/>
      <c r="N282" s="129"/>
      <c r="O282" s="129"/>
      <c r="P282" s="129"/>
      <c r="Q282" s="129"/>
      <c r="R282" s="129"/>
      <c r="S282" s="129"/>
      <c r="T282" s="129"/>
      <c r="U282" s="129"/>
      <c r="V282" s="129"/>
      <c r="W282" s="129"/>
      <c r="X282" s="129"/>
      <c r="Y282" s="129"/>
      <c r="Z282" s="129"/>
      <c r="AA282" s="129"/>
      <c r="AB282" s="129"/>
      <c r="AC282" s="129"/>
      <c r="AD282" s="129"/>
      <c r="AE282" s="129"/>
      <c r="AF282" s="129"/>
      <c r="AG282" s="129"/>
      <c r="AH282" s="129"/>
      <c r="AI282" s="129"/>
      <c r="AK282" s="140"/>
      <c r="AL282" s="129"/>
    </row>
    <row r="283" spans="6:38" hidden="1" x14ac:dyDescent="0.25">
      <c r="F283" s="129"/>
      <c r="G283" s="129"/>
      <c r="H283" s="129"/>
      <c r="I283" s="129"/>
      <c r="J283" s="129"/>
      <c r="K283" s="129"/>
      <c r="L283" s="129"/>
      <c r="M283" s="129"/>
      <c r="N283" s="129"/>
      <c r="O283" s="129"/>
      <c r="P283" s="129"/>
      <c r="Q283" s="129"/>
      <c r="R283" s="129"/>
      <c r="S283" s="129"/>
      <c r="T283" s="129"/>
      <c r="U283" s="129"/>
      <c r="V283" s="129"/>
      <c r="W283" s="129"/>
      <c r="X283" s="129"/>
      <c r="Y283" s="129"/>
      <c r="Z283" s="129"/>
      <c r="AA283" s="129"/>
      <c r="AB283" s="129"/>
      <c r="AC283" s="129"/>
      <c r="AD283" s="129"/>
      <c r="AE283" s="129"/>
      <c r="AF283" s="129"/>
      <c r="AG283" s="129"/>
      <c r="AH283" s="129"/>
      <c r="AI283" s="129"/>
      <c r="AK283" s="140"/>
      <c r="AL283" s="129"/>
    </row>
    <row r="284" spans="6:38" hidden="1" x14ac:dyDescent="0.25">
      <c r="F284" s="129"/>
      <c r="G284" s="129"/>
      <c r="H284" s="129"/>
      <c r="I284" s="129"/>
      <c r="J284" s="129"/>
      <c r="K284" s="129"/>
      <c r="L284" s="129"/>
      <c r="M284" s="129"/>
      <c r="N284" s="129"/>
      <c r="O284" s="129"/>
      <c r="P284" s="129"/>
      <c r="Q284" s="129"/>
      <c r="R284" s="129"/>
      <c r="S284" s="129"/>
      <c r="T284" s="129"/>
      <c r="U284" s="129"/>
      <c r="V284" s="129"/>
      <c r="W284" s="129"/>
      <c r="X284" s="129"/>
      <c r="Y284" s="129"/>
      <c r="Z284" s="129"/>
      <c r="AA284" s="129"/>
      <c r="AB284" s="129"/>
      <c r="AC284" s="129"/>
      <c r="AD284" s="129"/>
      <c r="AE284" s="129"/>
      <c r="AF284" s="129"/>
      <c r="AG284" s="129"/>
      <c r="AH284" s="129"/>
      <c r="AI284" s="129"/>
      <c r="AK284" s="140"/>
      <c r="AL284" s="129"/>
    </row>
    <row r="285" spans="6:38" hidden="1" x14ac:dyDescent="0.25">
      <c r="F285" s="129"/>
      <c r="G285" s="129"/>
      <c r="H285" s="129"/>
      <c r="I285" s="129"/>
      <c r="J285" s="129"/>
      <c r="K285" s="129"/>
      <c r="L285" s="129"/>
      <c r="M285" s="129"/>
      <c r="N285" s="129"/>
      <c r="O285" s="129"/>
      <c r="P285" s="129"/>
      <c r="Q285" s="129"/>
      <c r="R285" s="129"/>
      <c r="S285" s="129"/>
      <c r="T285" s="129"/>
      <c r="U285" s="129"/>
      <c r="V285" s="129"/>
      <c r="W285" s="129"/>
      <c r="X285" s="129"/>
      <c r="Y285" s="129"/>
      <c r="Z285" s="129"/>
      <c r="AA285" s="129"/>
      <c r="AB285" s="129"/>
      <c r="AC285" s="129"/>
      <c r="AD285" s="129"/>
      <c r="AE285" s="129"/>
      <c r="AF285" s="129"/>
      <c r="AG285" s="129"/>
      <c r="AH285" s="129"/>
      <c r="AI285" s="129"/>
      <c r="AK285" s="140"/>
      <c r="AL285" s="129"/>
    </row>
    <row r="286" spans="6:38" hidden="1" x14ac:dyDescent="0.25">
      <c r="F286" s="129"/>
      <c r="G286" s="129"/>
      <c r="H286" s="129"/>
      <c r="I286" s="129"/>
      <c r="J286" s="129"/>
      <c r="K286" s="129"/>
      <c r="L286" s="129"/>
      <c r="M286" s="129"/>
      <c r="N286" s="129"/>
      <c r="O286" s="129"/>
      <c r="P286" s="129"/>
      <c r="Q286" s="129"/>
      <c r="R286" s="129"/>
      <c r="S286" s="129"/>
      <c r="T286" s="129"/>
      <c r="U286" s="129"/>
      <c r="V286" s="129"/>
      <c r="W286" s="129"/>
      <c r="X286" s="129"/>
      <c r="Y286" s="129"/>
      <c r="Z286" s="129"/>
      <c r="AA286" s="129"/>
      <c r="AB286" s="129"/>
      <c r="AC286" s="129"/>
      <c r="AD286" s="129"/>
      <c r="AE286" s="129"/>
      <c r="AF286" s="129"/>
      <c r="AG286" s="129"/>
      <c r="AH286" s="129"/>
      <c r="AI286" s="129"/>
      <c r="AK286" s="140"/>
      <c r="AL286" s="129"/>
    </row>
    <row r="287" spans="6:38" hidden="1" x14ac:dyDescent="0.25">
      <c r="F287" s="129"/>
      <c r="G287" s="129"/>
      <c r="H287" s="129"/>
      <c r="I287" s="129"/>
      <c r="J287" s="129"/>
      <c r="K287" s="129"/>
      <c r="L287" s="129"/>
      <c r="M287" s="129"/>
      <c r="N287" s="129"/>
      <c r="O287" s="129"/>
      <c r="P287" s="129"/>
      <c r="Q287" s="129"/>
      <c r="R287" s="129"/>
      <c r="S287" s="129"/>
      <c r="T287" s="129"/>
      <c r="U287" s="129"/>
      <c r="V287" s="129"/>
      <c r="W287" s="129"/>
      <c r="X287" s="129"/>
      <c r="Y287" s="129"/>
      <c r="Z287" s="129"/>
      <c r="AA287" s="129"/>
      <c r="AB287" s="129"/>
      <c r="AC287" s="129"/>
      <c r="AD287" s="129"/>
      <c r="AE287" s="129"/>
      <c r="AF287" s="129"/>
      <c r="AG287" s="129"/>
      <c r="AH287" s="129"/>
      <c r="AI287" s="129"/>
      <c r="AK287" s="140"/>
      <c r="AL287" s="129"/>
    </row>
    <row r="288" spans="6:38" hidden="1" x14ac:dyDescent="0.25">
      <c r="F288" s="129"/>
      <c r="G288" s="129"/>
      <c r="H288" s="129"/>
      <c r="I288" s="129"/>
      <c r="J288" s="129"/>
      <c r="K288" s="129"/>
      <c r="L288" s="129"/>
      <c r="M288" s="129"/>
      <c r="N288" s="129"/>
      <c r="O288" s="129"/>
      <c r="P288" s="129"/>
      <c r="Q288" s="129"/>
      <c r="R288" s="129"/>
      <c r="S288" s="129"/>
      <c r="T288" s="129"/>
      <c r="U288" s="129"/>
      <c r="V288" s="129"/>
      <c r="W288" s="129"/>
      <c r="X288" s="129"/>
      <c r="Y288" s="129"/>
      <c r="Z288" s="129"/>
      <c r="AA288" s="129"/>
      <c r="AB288" s="129"/>
      <c r="AC288" s="129"/>
      <c r="AD288" s="129"/>
      <c r="AE288" s="129"/>
      <c r="AF288" s="129"/>
      <c r="AG288" s="129"/>
      <c r="AH288" s="129"/>
      <c r="AI288" s="129"/>
      <c r="AK288" s="140"/>
      <c r="AL288" s="129"/>
    </row>
    <row r="289" spans="6:38" hidden="1" x14ac:dyDescent="0.25">
      <c r="F289" s="129"/>
      <c r="G289" s="129"/>
      <c r="H289" s="129"/>
      <c r="I289" s="129"/>
      <c r="J289" s="129"/>
      <c r="K289" s="129"/>
      <c r="L289" s="129"/>
      <c r="M289" s="129"/>
      <c r="N289" s="129"/>
      <c r="O289" s="129"/>
      <c r="P289" s="129"/>
      <c r="Q289" s="129"/>
      <c r="R289" s="129"/>
      <c r="S289" s="129"/>
      <c r="T289" s="129"/>
      <c r="U289" s="129"/>
      <c r="V289" s="129"/>
      <c r="W289" s="129"/>
      <c r="X289" s="129"/>
      <c r="Y289" s="129"/>
      <c r="Z289" s="129"/>
      <c r="AA289" s="129"/>
      <c r="AB289" s="129"/>
      <c r="AC289" s="129"/>
      <c r="AD289" s="129"/>
      <c r="AE289" s="129"/>
      <c r="AF289" s="129"/>
      <c r="AG289" s="129"/>
      <c r="AH289" s="129"/>
      <c r="AI289" s="129"/>
      <c r="AK289" s="140"/>
      <c r="AL289" s="129"/>
    </row>
    <row r="290" spans="6:38" hidden="1" x14ac:dyDescent="0.25">
      <c r="F290" s="129"/>
      <c r="G290" s="129"/>
      <c r="H290" s="129"/>
      <c r="I290" s="129"/>
      <c r="J290" s="129"/>
      <c r="K290" s="129"/>
      <c r="L290" s="129"/>
      <c r="M290" s="129"/>
      <c r="N290" s="129"/>
      <c r="O290" s="129"/>
      <c r="P290" s="129"/>
      <c r="Q290" s="129"/>
      <c r="R290" s="129"/>
      <c r="S290" s="129"/>
      <c r="T290" s="129"/>
      <c r="U290" s="129"/>
      <c r="V290" s="129"/>
      <c r="W290" s="129"/>
      <c r="X290" s="129"/>
      <c r="Y290" s="129"/>
      <c r="Z290" s="129"/>
      <c r="AA290" s="129"/>
      <c r="AB290" s="129"/>
      <c r="AC290" s="129"/>
      <c r="AD290" s="129"/>
      <c r="AE290" s="129"/>
      <c r="AF290" s="129"/>
      <c r="AG290" s="129"/>
      <c r="AH290" s="129"/>
      <c r="AI290" s="129"/>
      <c r="AK290" s="140"/>
      <c r="AL290" s="129"/>
    </row>
    <row r="291" spans="6:38" hidden="1" x14ac:dyDescent="0.25">
      <c r="F291" s="129"/>
      <c r="G291" s="129"/>
      <c r="H291" s="129"/>
      <c r="I291" s="129"/>
      <c r="J291" s="129"/>
      <c r="K291" s="129"/>
      <c r="L291" s="129"/>
      <c r="M291" s="129"/>
      <c r="N291" s="129"/>
      <c r="O291" s="129"/>
      <c r="P291" s="129"/>
      <c r="Q291" s="129"/>
      <c r="R291" s="129"/>
      <c r="S291" s="129"/>
      <c r="T291" s="129"/>
      <c r="U291" s="129"/>
      <c r="V291" s="129"/>
      <c r="W291" s="129"/>
      <c r="X291" s="129"/>
      <c r="Y291" s="129"/>
      <c r="Z291" s="129"/>
      <c r="AA291" s="129"/>
      <c r="AB291" s="129"/>
      <c r="AC291" s="129"/>
      <c r="AD291" s="129"/>
      <c r="AE291" s="129"/>
      <c r="AF291" s="129"/>
      <c r="AG291" s="129"/>
      <c r="AH291" s="129"/>
      <c r="AI291" s="129"/>
      <c r="AK291" s="140"/>
      <c r="AL291" s="129"/>
    </row>
    <row r="292" spans="6:38" hidden="1" x14ac:dyDescent="0.25">
      <c r="F292" s="129"/>
      <c r="G292" s="129"/>
      <c r="H292" s="129"/>
      <c r="I292" s="129"/>
      <c r="J292" s="129"/>
      <c r="K292" s="129"/>
      <c r="L292" s="129"/>
      <c r="M292" s="129"/>
      <c r="N292" s="129"/>
      <c r="O292" s="129"/>
      <c r="P292" s="129"/>
      <c r="Q292" s="129"/>
      <c r="R292" s="129"/>
      <c r="S292" s="129"/>
      <c r="T292" s="129"/>
      <c r="U292" s="129"/>
      <c r="V292" s="129"/>
      <c r="W292" s="129"/>
      <c r="X292" s="129"/>
      <c r="Y292" s="129"/>
      <c r="Z292" s="129"/>
      <c r="AA292" s="129"/>
      <c r="AB292" s="129"/>
      <c r="AC292" s="129"/>
      <c r="AD292" s="129"/>
      <c r="AE292" s="129"/>
      <c r="AF292" s="129"/>
      <c r="AG292" s="129"/>
      <c r="AH292" s="129"/>
      <c r="AI292" s="129"/>
      <c r="AK292" s="140"/>
      <c r="AL292" s="129"/>
    </row>
    <row r="293" spans="6:38" hidden="1" x14ac:dyDescent="0.25">
      <c r="F293" s="129"/>
      <c r="G293" s="129"/>
      <c r="H293" s="129"/>
      <c r="I293" s="129"/>
      <c r="J293" s="129"/>
      <c r="K293" s="129"/>
      <c r="L293" s="129"/>
      <c r="M293" s="129"/>
      <c r="N293" s="129"/>
      <c r="O293" s="129"/>
      <c r="P293" s="129"/>
      <c r="Q293" s="129"/>
      <c r="R293" s="129"/>
      <c r="S293" s="129"/>
      <c r="T293" s="129"/>
      <c r="U293" s="129"/>
      <c r="V293" s="129"/>
      <c r="W293" s="129"/>
      <c r="X293" s="129"/>
      <c r="Y293" s="129"/>
      <c r="Z293" s="129"/>
      <c r="AA293" s="129"/>
      <c r="AB293" s="129"/>
      <c r="AC293" s="129"/>
      <c r="AD293" s="129"/>
      <c r="AE293" s="129"/>
      <c r="AF293" s="129"/>
      <c r="AG293" s="129"/>
      <c r="AH293" s="129"/>
      <c r="AI293" s="129"/>
      <c r="AK293" s="140"/>
      <c r="AL293" s="129"/>
    </row>
    <row r="294" spans="6:38" hidden="1" x14ac:dyDescent="0.25">
      <c r="F294" s="129"/>
      <c r="G294" s="129"/>
      <c r="H294" s="129"/>
      <c r="I294" s="129"/>
      <c r="J294" s="129"/>
      <c r="K294" s="129"/>
      <c r="L294" s="129"/>
      <c r="M294" s="129"/>
      <c r="N294" s="129"/>
      <c r="O294" s="129"/>
      <c r="P294" s="129"/>
      <c r="Q294" s="129"/>
      <c r="R294" s="129"/>
      <c r="S294" s="129"/>
      <c r="T294" s="129"/>
      <c r="U294" s="129"/>
      <c r="V294" s="129"/>
      <c r="W294" s="129"/>
      <c r="X294" s="129"/>
      <c r="Y294" s="129"/>
      <c r="Z294" s="129"/>
      <c r="AA294" s="129"/>
      <c r="AB294" s="129"/>
      <c r="AC294" s="129"/>
      <c r="AD294" s="129"/>
      <c r="AE294" s="129"/>
      <c r="AF294" s="129"/>
      <c r="AG294" s="129"/>
      <c r="AH294" s="129"/>
      <c r="AI294" s="129"/>
      <c r="AK294" s="140"/>
      <c r="AL294" s="129"/>
    </row>
    <row r="295" spans="6:38" hidden="1" x14ac:dyDescent="0.25">
      <c r="F295" s="129"/>
      <c r="G295" s="129"/>
      <c r="H295" s="129"/>
      <c r="I295" s="129"/>
      <c r="J295" s="129"/>
      <c r="K295" s="129"/>
      <c r="L295" s="129"/>
      <c r="M295" s="129"/>
      <c r="N295" s="129"/>
      <c r="O295" s="129"/>
      <c r="P295" s="129"/>
      <c r="Q295" s="129"/>
      <c r="R295" s="129"/>
      <c r="S295" s="129"/>
      <c r="T295" s="129"/>
      <c r="U295" s="129"/>
      <c r="V295" s="129"/>
      <c r="W295" s="129"/>
      <c r="X295" s="129"/>
      <c r="Y295" s="129"/>
      <c r="Z295" s="129"/>
      <c r="AA295" s="129"/>
      <c r="AB295" s="129"/>
      <c r="AC295" s="129"/>
      <c r="AD295" s="129"/>
      <c r="AE295" s="129"/>
      <c r="AF295" s="129"/>
      <c r="AG295" s="129"/>
      <c r="AH295" s="129"/>
      <c r="AI295" s="129"/>
      <c r="AK295" s="140"/>
      <c r="AL295" s="129"/>
    </row>
    <row r="296" spans="6:38" hidden="1" x14ac:dyDescent="0.25">
      <c r="F296" s="129"/>
      <c r="G296" s="129"/>
      <c r="H296" s="129"/>
      <c r="I296" s="129"/>
      <c r="J296" s="129"/>
      <c r="K296" s="129"/>
      <c r="L296" s="129"/>
      <c r="M296" s="129"/>
      <c r="N296" s="129"/>
      <c r="O296" s="129"/>
      <c r="P296" s="129"/>
      <c r="Q296" s="129"/>
      <c r="R296" s="129"/>
      <c r="S296" s="129"/>
      <c r="T296" s="129"/>
      <c r="U296" s="129"/>
      <c r="V296" s="129"/>
      <c r="W296" s="129"/>
      <c r="X296" s="129"/>
      <c r="Y296" s="129"/>
      <c r="Z296" s="129"/>
      <c r="AA296" s="129"/>
      <c r="AB296" s="129"/>
      <c r="AC296" s="129"/>
      <c r="AD296" s="129"/>
      <c r="AE296" s="129"/>
      <c r="AF296" s="129"/>
      <c r="AG296" s="129"/>
      <c r="AH296" s="129"/>
      <c r="AI296" s="129"/>
      <c r="AK296" s="140"/>
      <c r="AL296" s="129"/>
    </row>
    <row r="297" spans="6:38" hidden="1" x14ac:dyDescent="0.25">
      <c r="F297" s="129"/>
      <c r="G297" s="129"/>
      <c r="H297" s="129"/>
      <c r="I297" s="129"/>
      <c r="J297" s="129"/>
      <c r="K297" s="129"/>
      <c r="L297" s="129"/>
      <c r="M297" s="129"/>
      <c r="N297" s="129"/>
      <c r="O297" s="129"/>
      <c r="P297" s="129"/>
      <c r="Q297" s="129"/>
      <c r="R297" s="129"/>
      <c r="S297" s="129"/>
      <c r="T297" s="129"/>
      <c r="U297" s="129"/>
      <c r="V297" s="129"/>
      <c r="W297" s="129"/>
      <c r="X297" s="129"/>
      <c r="Y297" s="129"/>
      <c r="Z297" s="129"/>
      <c r="AA297" s="129"/>
      <c r="AB297" s="129"/>
      <c r="AC297" s="129"/>
      <c r="AD297" s="129"/>
      <c r="AE297" s="129"/>
      <c r="AF297" s="129"/>
      <c r="AG297" s="129"/>
      <c r="AH297" s="129"/>
      <c r="AI297" s="129"/>
      <c r="AK297" s="140"/>
      <c r="AL297" s="129"/>
    </row>
    <row r="298" spans="6:38" hidden="1" x14ac:dyDescent="0.25">
      <c r="F298" s="129"/>
      <c r="G298" s="129"/>
      <c r="H298" s="129"/>
      <c r="I298" s="129"/>
      <c r="J298" s="129"/>
      <c r="K298" s="129"/>
      <c r="L298" s="129"/>
      <c r="M298" s="129"/>
      <c r="N298" s="129"/>
      <c r="O298" s="129"/>
      <c r="P298" s="129"/>
      <c r="Q298" s="129"/>
      <c r="R298" s="129"/>
      <c r="S298" s="129"/>
      <c r="T298" s="129"/>
      <c r="U298" s="129"/>
      <c r="V298" s="129"/>
      <c r="W298" s="129"/>
      <c r="X298" s="129"/>
      <c r="Y298" s="129"/>
      <c r="Z298" s="129"/>
      <c r="AA298" s="129"/>
      <c r="AB298" s="129"/>
      <c r="AC298" s="129"/>
      <c r="AD298" s="129"/>
      <c r="AE298" s="129"/>
      <c r="AF298" s="129"/>
      <c r="AG298" s="129"/>
      <c r="AH298" s="129"/>
      <c r="AI298" s="129"/>
      <c r="AK298" s="140"/>
      <c r="AL298" s="129"/>
    </row>
    <row r="299" spans="6:38" hidden="1" x14ac:dyDescent="0.25">
      <c r="F299" s="129"/>
      <c r="G299" s="129"/>
      <c r="H299" s="129"/>
      <c r="I299" s="129"/>
      <c r="J299" s="129"/>
      <c r="K299" s="129"/>
      <c r="L299" s="129"/>
      <c r="M299" s="129"/>
      <c r="N299" s="129"/>
      <c r="O299" s="129"/>
      <c r="P299" s="129"/>
      <c r="Q299" s="129"/>
      <c r="R299" s="129"/>
      <c r="S299" s="129"/>
      <c r="T299" s="129"/>
      <c r="U299" s="129"/>
      <c r="V299" s="129"/>
      <c r="W299" s="129"/>
      <c r="X299" s="129"/>
      <c r="Y299" s="129"/>
      <c r="Z299" s="129"/>
      <c r="AA299" s="129"/>
      <c r="AB299" s="129"/>
      <c r="AC299" s="129"/>
      <c r="AD299" s="129"/>
      <c r="AE299" s="129"/>
      <c r="AF299" s="129"/>
      <c r="AG299" s="129"/>
      <c r="AH299" s="129"/>
      <c r="AI299" s="129"/>
      <c r="AK299" s="140"/>
      <c r="AL299" s="129"/>
    </row>
    <row r="300" spans="6:38" hidden="1" x14ac:dyDescent="0.25">
      <c r="F300" s="129"/>
      <c r="G300" s="129"/>
      <c r="H300" s="129"/>
      <c r="I300" s="129"/>
      <c r="J300" s="129"/>
      <c r="K300" s="129"/>
      <c r="L300" s="129"/>
      <c r="M300" s="129"/>
      <c r="N300" s="129"/>
      <c r="O300" s="129"/>
      <c r="P300" s="129"/>
      <c r="Q300" s="129"/>
      <c r="R300" s="129"/>
      <c r="S300" s="129"/>
      <c r="T300" s="129"/>
      <c r="U300" s="129"/>
      <c r="V300" s="129"/>
      <c r="W300" s="129"/>
      <c r="X300" s="129"/>
      <c r="Y300" s="129"/>
      <c r="Z300" s="129"/>
      <c r="AA300" s="129"/>
      <c r="AB300" s="129"/>
      <c r="AC300" s="129"/>
      <c r="AD300" s="129"/>
      <c r="AE300" s="129"/>
      <c r="AF300" s="129"/>
      <c r="AG300" s="129"/>
      <c r="AH300" s="129"/>
      <c r="AI300" s="129"/>
      <c r="AK300" s="140"/>
      <c r="AL300" s="129"/>
    </row>
    <row r="301" spans="6:38" hidden="1" x14ac:dyDescent="0.25">
      <c r="F301" s="129"/>
      <c r="G301" s="129"/>
      <c r="H301" s="129"/>
      <c r="I301" s="129"/>
      <c r="J301" s="129"/>
      <c r="K301" s="129"/>
      <c r="L301" s="129"/>
      <c r="M301" s="129"/>
      <c r="N301" s="129"/>
      <c r="O301" s="129"/>
      <c r="P301" s="129"/>
      <c r="Q301" s="129"/>
      <c r="R301" s="129"/>
      <c r="S301" s="129"/>
      <c r="T301" s="129"/>
      <c r="U301" s="129"/>
      <c r="V301" s="129"/>
      <c r="W301" s="129"/>
      <c r="X301" s="129"/>
      <c r="Y301" s="129"/>
      <c r="Z301" s="129"/>
      <c r="AA301" s="129"/>
      <c r="AB301" s="129"/>
      <c r="AC301" s="129"/>
      <c r="AD301" s="129"/>
      <c r="AE301" s="129"/>
      <c r="AF301" s="129"/>
      <c r="AG301" s="129"/>
      <c r="AH301" s="129"/>
      <c r="AI301" s="129"/>
      <c r="AK301" s="140"/>
      <c r="AL301" s="129"/>
    </row>
    <row r="302" spans="6:38" hidden="1" x14ac:dyDescent="0.25">
      <c r="F302" s="129"/>
      <c r="G302" s="129"/>
      <c r="H302" s="129"/>
      <c r="I302" s="129"/>
      <c r="J302" s="129"/>
      <c r="K302" s="129"/>
      <c r="L302" s="129"/>
      <c r="M302" s="129"/>
      <c r="N302" s="129"/>
      <c r="O302" s="129"/>
      <c r="P302" s="129"/>
      <c r="Q302" s="129"/>
      <c r="R302" s="129"/>
      <c r="S302" s="129"/>
      <c r="T302" s="129"/>
      <c r="U302" s="129"/>
      <c r="V302" s="129"/>
      <c r="W302" s="129"/>
      <c r="X302" s="129"/>
      <c r="Y302" s="129"/>
      <c r="Z302" s="129"/>
      <c r="AA302" s="129"/>
      <c r="AB302" s="129"/>
      <c r="AC302" s="129"/>
      <c r="AD302" s="129"/>
      <c r="AE302" s="129"/>
      <c r="AF302" s="129"/>
      <c r="AG302" s="129"/>
      <c r="AH302" s="129"/>
      <c r="AI302" s="129"/>
      <c r="AK302" s="140"/>
      <c r="AL302" s="129"/>
    </row>
    <row r="303" spans="6:38" hidden="1" x14ac:dyDescent="0.25">
      <c r="F303" s="129"/>
      <c r="G303" s="129"/>
      <c r="H303" s="129"/>
      <c r="I303" s="129"/>
      <c r="J303" s="129"/>
      <c r="K303" s="129"/>
      <c r="L303" s="129"/>
      <c r="M303" s="129"/>
      <c r="N303" s="129"/>
      <c r="O303" s="129"/>
      <c r="P303" s="129"/>
      <c r="Q303" s="129"/>
      <c r="R303" s="129"/>
      <c r="S303" s="129"/>
      <c r="T303" s="129"/>
      <c r="U303" s="129"/>
      <c r="V303" s="129"/>
      <c r="W303" s="129"/>
      <c r="X303" s="129"/>
      <c r="Y303" s="129"/>
      <c r="Z303" s="129"/>
      <c r="AA303" s="129"/>
      <c r="AB303" s="129"/>
      <c r="AC303" s="129"/>
      <c r="AD303" s="129"/>
      <c r="AE303" s="129"/>
      <c r="AF303" s="129"/>
      <c r="AG303" s="129"/>
      <c r="AH303" s="129"/>
      <c r="AI303" s="129"/>
      <c r="AK303" s="140"/>
      <c r="AL303" s="129"/>
    </row>
    <row r="304" spans="6:38" hidden="1" x14ac:dyDescent="0.25">
      <c r="F304" s="129"/>
      <c r="G304" s="129"/>
      <c r="H304" s="129"/>
      <c r="I304" s="129"/>
      <c r="J304" s="129"/>
      <c r="K304" s="129"/>
      <c r="L304" s="129"/>
      <c r="M304" s="129"/>
      <c r="N304" s="129"/>
      <c r="O304" s="129"/>
      <c r="P304" s="129"/>
      <c r="Q304" s="129"/>
      <c r="R304" s="129"/>
      <c r="S304" s="129"/>
      <c r="T304" s="129"/>
      <c r="U304" s="129"/>
      <c r="V304" s="129"/>
      <c r="W304" s="129"/>
      <c r="X304" s="129"/>
      <c r="Y304" s="129"/>
      <c r="Z304" s="129"/>
      <c r="AA304" s="129"/>
      <c r="AB304" s="129"/>
      <c r="AC304" s="129"/>
      <c r="AD304" s="129"/>
      <c r="AE304" s="129"/>
      <c r="AF304" s="129"/>
      <c r="AG304" s="129"/>
      <c r="AH304" s="129"/>
      <c r="AI304" s="129"/>
      <c r="AK304" s="140"/>
      <c r="AL304" s="129"/>
    </row>
    <row r="305" spans="6:38" hidden="1" x14ac:dyDescent="0.25">
      <c r="F305" s="129"/>
      <c r="G305" s="129"/>
      <c r="H305" s="129"/>
      <c r="I305" s="129"/>
      <c r="J305" s="129"/>
      <c r="K305" s="129"/>
      <c r="L305" s="129"/>
      <c r="M305" s="129"/>
      <c r="N305" s="129"/>
      <c r="O305" s="129"/>
      <c r="P305" s="129"/>
      <c r="Q305" s="129"/>
      <c r="R305" s="129"/>
      <c r="S305" s="129"/>
      <c r="T305" s="129"/>
      <c r="U305" s="129"/>
      <c r="V305" s="129"/>
      <c r="W305" s="129"/>
      <c r="X305" s="129"/>
      <c r="Y305" s="129"/>
      <c r="Z305" s="129"/>
      <c r="AA305" s="129"/>
      <c r="AB305" s="129"/>
      <c r="AC305" s="129"/>
      <c r="AD305" s="129"/>
      <c r="AE305" s="129"/>
      <c r="AF305" s="129"/>
      <c r="AG305" s="129"/>
      <c r="AH305" s="129"/>
      <c r="AI305" s="129"/>
      <c r="AK305" s="140"/>
      <c r="AL305" s="129"/>
    </row>
    <row r="306" spans="6:38" hidden="1" x14ac:dyDescent="0.25">
      <c r="F306" s="129"/>
      <c r="G306" s="129"/>
      <c r="H306" s="129"/>
      <c r="I306" s="129"/>
      <c r="J306" s="129"/>
      <c r="K306" s="129"/>
      <c r="L306" s="129"/>
      <c r="M306" s="129"/>
      <c r="N306" s="129"/>
      <c r="O306" s="129"/>
      <c r="P306" s="129"/>
      <c r="Q306" s="129"/>
      <c r="R306" s="129"/>
      <c r="S306" s="129"/>
      <c r="T306" s="129"/>
      <c r="U306" s="129"/>
      <c r="V306" s="129"/>
      <c r="W306" s="129"/>
      <c r="X306" s="129"/>
      <c r="Y306" s="129"/>
      <c r="Z306" s="129"/>
      <c r="AA306" s="129"/>
      <c r="AB306" s="129"/>
      <c r="AC306" s="129"/>
      <c r="AD306" s="129"/>
      <c r="AE306" s="129"/>
      <c r="AF306" s="129"/>
      <c r="AG306" s="129"/>
      <c r="AH306" s="129"/>
      <c r="AI306" s="129"/>
      <c r="AK306" s="140"/>
      <c r="AL306" s="129"/>
    </row>
    <row r="307" spans="6:38" hidden="1" x14ac:dyDescent="0.25">
      <c r="F307" s="129"/>
      <c r="G307" s="129"/>
      <c r="H307" s="129"/>
      <c r="I307" s="129"/>
      <c r="J307" s="129"/>
      <c r="K307" s="129"/>
      <c r="L307" s="129"/>
      <c r="M307" s="129"/>
      <c r="N307" s="129"/>
      <c r="O307" s="129"/>
      <c r="P307" s="129"/>
      <c r="Q307" s="129"/>
      <c r="R307" s="129"/>
      <c r="S307" s="129"/>
      <c r="T307" s="129"/>
      <c r="U307" s="129"/>
      <c r="V307" s="129"/>
      <c r="W307" s="129"/>
      <c r="X307" s="129"/>
      <c r="Y307" s="129"/>
      <c r="Z307" s="129"/>
      <c r="AA307" s="129"/>
      <c r="AB307" s="129"/>
      <c r="AC307" s="129"/>
      <c r="AD307" s="129"/>
      <c r="AE307" s="129"/>
      <c r="AF307" s="129"/>
      <c r="AG307" s="129"/>
      <c r="AH307" s="129"/>
      <c r="AI307" s="129"/>
      <c r="AK307" s="140"/>
      <c r="AL307" s="129"/>
    </row>
    <row r="308" spans="6:38" hidden="1" x14ac:dyDescent="0.25">
      <c r="F308" s="129"/>
      <c r="G308" s="129"/>
      <c r="H308" s="129"/>
      <c r="I308" s="129"/>
      <c r="J308" s="129"/>
      <c r="K308" s="129"/>
      <c r="L308" s="129"/>
      <c r="M308" s="129"/>
      <c r="N308" s="129"/>
      <c r="O308" s="129"/>
      <c r="P308" s="129"/>
      <c r="Q308" s="129"/>
      <c r="R308" s="129"/>
      <c r="S308" s="129"/>
      <c r="T308" s="129"/>
      <c r="U308" s="129"/>
      <c r="V308" s="129"/>
      <c r="W308" s="129"/>
      <c r="X308" s="129"/>
      <c r="Y308" s="129"/>
      <c r="Z308" s="129"/>
      <c r="AA308" s="129"/>
      <c r="AB308" s="129"/>
      <c r="AC308" s="129"/>
      <c r="AD308" s="129"/>
      <c r="AE308" s="129"/>
      <c r="AF308" s="129"/>
      <c r="AG308" s="129"/>
      <c r="AH308" s="129"/>
      <c r="AI308" s="129"/>
      <c r="AK308" s="140"/>
      <c r="AL308" s="129"/>
    </row>
    <row r="309" spans="6:38" hidden="1" x14ac:dyDescent="0.25">
      <c r="F309" s="129"/>
      <c r="G309" s="129"/>
      <c r="H309" s="129"/>
      <c r="I309" s="129"/>
      <c r="J309" s="129"/>
      <c r="K309" s="129"/>
      <c r="L309" s="129"/>
      <c r="M309" s="129"/>
      <c r="N309" s="129"/>
      <c r="O309" s="129"/>
      <c r="P309" s="129"/>
      <c r="Q309" s="129"/>
      <c r="R309" s="129"/>
      <c r="S309" s="129"/>
      <c r="T309" s="129"/>
      <c r="U309" s="129"/>
      <c r="V309" s="129"/>
      <c r="W309" s="129"/>
      <c r="X309" s="129"/>
      <c r="Y309" s="129"/>
      <c r="Z309" s="129"/>
      <c r="AA309" s="129"/>
      <c r="AB309" s="129"/>
      <c r="AC309" s="129"/>
      <c r="AD309" s="129"/>
      <c r="AE309" s="129"/>
      <c r="AF309" s="129"/>
      <c r="AG309" s="129"/>
      <c r="AH309" s="129"/>
      <c r="AI309" s="129"/>
      <c r="AK309" s="140"/>
      <c r="AL309" s="129"/>
    </row>
    <row r="310" spans="6:38" hidden="1" x14ac:dyDescent="0.25">
      <c r="F310" s="129"/>
      <c r="G310" s="129"/>
      <c r="H310" s="129"/>
      <c r="I310" s="129"/>
      <c r="J310" s="129"/>
      <c r="K310" s="129"/>
      <c r="L310" s="129"/>
      <c r="M310" s="129"/>
      <c r="N310" s="129"/>
      <c r="O310" s="129"/>
      <c r="P310" s="129"/>
      <c r="Q310" s="129"/>
      <c r="R310" s="129"/>
      <c r="S310" s="129"/>
      <c r="T310" s="129"/>
      <c r="U310" s="129"/>
      <c r="V310" s="129"/>
      <c r="W310" s="129"/>
      <c r="X310" s="129"/>
      <c r="Y310" s="129"/>
      <c r="Z310" s="129"/>
      <c r="AA310" s="129"/>
      <c r="AB310" s="129"/>
      <c r="AC310" s="129"/>
      <c r="AD310" s="129"/>
      <c r="AE310" s="129"/>
      <c r="AF310" s="129"/>
      <c r="AG310" s="129"/>
      <c r="AH310" s="129"/>
      <c r="AI310" s="129"/>
      <c r="AK310" s="140"/>
      <c r="AL310" s="129"/>
    </row>
    <row r="311" spans="6:38" hidden="1" x14ac:dyDescent="0.25">
      <c r="F311" s="129"/>
      <c r="G311" s="129"/>
      <c r="H311" s="129"/>
      <c r="I311" s="129"/>
      <c r="J311" s="129"/>
      <c r="K311" s="129"/>
      <c r="L311" s="129"/>
      <c r="M311" s="129"/>
      <c r="N311" s="129"/>
      <c r="O311" s="129"/>
      <c r="P311" s="129"/>
      <c r="Q311" s="129"/>
      <c r="R311" s="129"/>
      <c r="S311" s="129"/>
      <c r="T311" s="129"/>
      <c r="U311" s="129"/>
      <c r="V311" s="129"/>
      <c r="W311" s="129"/>
      <c r="X311" s="129"/>
      <c r="Y311" s="129"/>
      <c r="Z311" s="129"/>
      <c r="AA311" s="129"/>
      <c r="AB311" s="129"/>
      <c r="AC311" s="129"/>
      <c r="AD311" s="129"/>
      <c r="AE311" s="129"/>
      <c r="AF311" s="129"/>
      <c r="AG311" s="129"/>
      <c r="AH311" s="129"/>
      <c r="AI311" s="129"/>
      <c r="AK311" s="140"/>
      <c r="AL311" s="129"/>
    </row>
    <row r="312" spans="6:38" hidden="1" x14ac:dyDescent="0.25">
      <c r="F312" s="129"/>
      <c r="G312" s="129"/>
      <c r="H312" s="129"/>
      <c r="I312" s="129"/>
      <c r="J312" s="129"/>
      <c r="K312" s="129"/>
      <c r="L312" s="129"/>
      <c r="M312" s="129"/>
      <c r="N312" s="129"/>
      <c r="O312" s="129"/>
      <c r="P312" s="129"/>
      <c r="Q312" s="129"/>
      <c r="R312" s="129"/>
      <c r="S312" s="129"/>
      <c r="T312" s="129"/>
      <c r="U312" s="129"/>
      <c r="V312" s="129"/>
      <c r="W312" s="129"/>
      <c r="X312" s="129"/>
      <c r="Y312" s="129"/>
      <c r="Z312" s="129"/>
      <c r="AA312" s="129"/>
      <c r="AB312" s="129"/>
      <c r="AC312" s="129"/>
      <c r="AD312" s="129"/>
      <c r="AE312" s="129"/>
      <c r="AF312" s="129"/>
      <c r="AG312" s="129"/>
      <c r="AH312" s="129"/>
      <c r="AI312" s="129"/>
      <c r="AK312" s="140"/>
      <c r="AL312" s="129"/>
    </row>
    <row r="313" spans="6:38" hidden="1" x14ac:dyDescent="0.25">
      <c r="F313" s="129"/>
      <c r="G313" s="129"/>
      <c r="H313" s="129"/>
      <c r="I313" s="129"/>
      <c r="J313" s="129"/>
      <c r="K313" s="129"/>
      <c r="L313" s="129"/>
      <c r="M313" s="129"/>
      <c r="N313" s="129"/>
      <c r="O313" s="129"/>
      <c r="P313" s="129"/>
      <c r="Q313" s="129"/>
      <c r="R313" s="129"/>
      <c r="S313" s="129"/>
      <c r="T313" s="129"/>
      <c r="U313" s="129"/>
      <c r="V313" s="129"/>
      <c r="W313" s="129"/>
      <c r="X313" s="129"/>
      <c r="Y313" s="129"/>
      <c r="Z313" s="129"/>
      <c r="AA313" s="129"/>
      <c r="AB313" s="129"/>
      <c r="AC313" s="129"/>
      <c r="AD313" s="129"/>
      <c r="AE313" s="129"/>
      <c r="AF313" s="129"/>
      <c r="AG313" s="129"/>
      <c r="AH313" s="129"/>
      <c r="AI313" s="129"/>
      <c r="AK313" s="140"/>
      <c r="AL313" s="129"/>
    </row>
    <row r="314" spans="6:38" hidden="1" x14ac:dyDescent="0.25">
      <c r="F314" s="129"/>
      <c r="G314" s="129"/>
      <c r="H314" s="129"/>
      <c r="I314" s="129"/>
      <c r="J314" s="129"/>
      <c r="K314" s="129"/>
      <c r="L314" s="129"/>
      <c r="M314" s="129"/>
      <c r="N314" s="129"/>
      <c r="O314" s="129"/>
      <c r="P314" s="129"/>
      <c r="Q314" s="129"/>
      <c r="R314" s="129"/>
      <c r="S314" s="129"/>
      <c r="T314" s="129"/>
      <c r="U314" s="129"/>
      <c r="V314" s="129"/>
      <c r="W314" s="129"/>
      <c r="X314" s="129"/>
      <c r="Y314" s="129"/>
      <c r="Z314" s="129"/>
      <c r="AA314" s="129"/>
      <c r="AB314" s="129"/>
      <c r="AC314" s="129"/>
      <c r="AD314" s="129"/>
      <c r="AE314" s="129"/>
      <c r="AF314" s="129"/>
      <c r="AG314" s="129"/>
      <c r="AH314" s="129"/>
      <c r="AI314" s="129"/>
      <c r="AK314" s="140"/>
      <c r="AL314" s="129"/>
    </row>
    <row r="315" spans="6:38" hidden="1" x14ac:dyDescent="0.25">
      <c r="F315" s="129"/>
      <c r="G315" s="129"/>
      <c r="H315" s="129"/>
      <c r="I315" s="129"/>
      <c r="J315" s="129"/>
      <c r="K315" s="129"/>
      <c r="L315" s="129"/>
      <c r="M315" s="129"/>
      <c r="N315" s="129"/>
      <c r="O315" s="129"/>
      <c r="P315" s="129"/>
      <c r="Q315" s="129"/>
      <c r="R315" s="129"/>
      <c r="S315" s="129"/>
      <c r="T315" s="129"/>
      <c r="U315" s="129"/>
      <c r="V315" s="129"/>
      <c r="W315" s="129"/>
      <c r="X315" s="129"/>
      <c r="Y315" s="129"/>
      <c r="Z315" s="129"/>
      <c r="AA315" s="129"/>
      <c r="AB315" s="129"/>
      <c r="AC315" s="129"/>
      <c r="AD315" s="129"/>
      <c r="AE315" s="129"/>
      <c r="AF315" s="129"/>
      <c r="AG315" s="129"/>
      <c r="AH315" s="129"/>
      <c r="AI315" s="129"/>
      <c r="AK315" s="140"/>
      <c r="AL315" s="129"/>
    </row>
    <row r="316" spans="6:38" hidden="1" x14ac:dyDescent="0.25">
      <c r="F316" s="129"/>
      <c r="G316" s="129"/>
      <c r="H316" s="129"/>
      <c r="I316" s="129"/>
      <c r="J316" s="129"/>
      <c r="K316" s="129"/>
      <c r="L316" s="129"/>
      <c r="M316" s="129"/>
      <c r="N316" s="129"/>
      <c r="O316" s="129"/>
      <c r="P316" s="129"/>
      <c r="Q316" s="129"/>
      <c r="R316" s="129"/>
      <c r="S316" s="129"/>
      <c r="T316" s="129"/>
      <c r="U316" s="129"/>
      <c r="V316" s="129"/>
      <c r="W316" s="129"/>
      <c r="X316" s="129"/>
      <c r="Y316" s="129"/>
      <c r="Z316" s="129"/>
      <c r="AA316" s="129"/>
      <c r="AB316" s="129"/>
      <c r="AC316" s="129"/>
      <c r="AD316" s="129"/>
      <c r="AE316" s="129"/>
      <c r="AF316" s="129"/>
      <c r="AG316" s="129"/>
      <c r="AH316" s="129"/>
      <c r="AI316" s="129"/>
      <c r="AK316" s="140"/>
      <c r="AL316" s="129"/>
    </row>
    <row r="317" spans="6:38" hidden="1" x14ac:dyDescent="0.25">
      <c r="F317" s="129"/>
      <c r="G317" s="129"/>
      <c r="H317" s="129"/>
      <c r="I317" s="129"/>
      <c r="J317" s="129"/>
      <c r="K317" s="129"/>
      <c r="L317" s="129"/>
      <c r="M317" s="129"/>
      <c r="N317" s="129"/>
      <c r="O317" s="129"/>
      <c r="P317" s="129"/>
      <c r="Q317" s="129"/>
      <c r="R317" s="129"/>
      <c r="S317" s="129"/>
      <c r="T317" s="129"/>
      <c r="U317" s="129"/>
      <c r="V317" s="129"/>
      <c r="W317" s="129"/>
      <c r="X317" s="129"/>
      <c r="Y317" s="129"/>
      <c r="Z317" s="129"/>
      <c r="AA317" s="129"/>
      <c r="AB317" s="129"/>
      <c r="AC317" s="129"/>
      <c r="AD317" s="129"/>
      <c r="AE317" s="129"/>
      <c r="AF317" s="129"/>
      <c r="AG317" s="129"/>
      <c r="AH317" s="129"/>
      <c r="AI317" s="129"/>
      <c r="AK317" s="140"/>
      <c r="AL317" s="129"/>
    </row>
    <row r="318" spans="6:38" hidden="1" x14ac:dyDescent="0.25">
      <c r="F318" s="129"/>
      <c r="G318" s="129"/>
      <c r="H318" s="129"/>
      <c r="I318" s="129"/>
      <c r="J318" s="129"/>
      <c r="K318" s="129"/>
      <c r="L318" s="129"/>
      <c r="M318" s="129"/>
      <c r="N318" s="129"/>
      <c r="O318" s="129"/>
      <c r="P318" s="129"/>
      <c r="Q318" s="129"/>
      <c r="R318" s="129"/>
      <c r="S318" s="129"/>
      <c r="T318" s="129"/>
      <c r="U318" s="129"/>
      <c r="V318" s="129"/>
      <c r="W318" s="129"/>
      <c r="X318" s="129"/>
      <c r="Y318" s="129"/>
      <c r="Z318" s="129"/>
      <c r="AA318" s="129"/>
      <c r="AB318" s="129"/>
      <c r="AC318" s="129"/>
      <c r="AD318" s="129"/>
      <c r="AE318" s="129"/>
      <c r="AF318" s="129"/>
      <c r="AG318" s="129"/>
      <c r="AH318" s="129"/>
      <c r="AI318" s="129"/>
      <c r="AK318" s="140"/>
      <c r="AL318" s="129"/>
    </row>
    <row r="319" spans="6:38" hidden="1" x14ac:dyDescent="0.25">
      <c r="F319" s="129"/>
      <c r="G319" s="129"/>
      <c r="H319" s="129"/>
      <c r="I319" s="129"/>
      <c r="J319" s="129"/>
      <c r="K319" s="129"/>
      <c r="L319" s="129"/>
      <c r="M319" s="129"/>
      <c r="N319" s="129"/>
      <c r="O319" s="129"/>
      <c r="P319" s="129"/>
      <c r="Q319" s="129"/>
      <c r="R319" s="129"/>
      <c r="S319" s="129"/>
      <c r="T319" s="129"/>
      <c r="U319" s="129"/>
      <c r="V319" s="129"/>
      <c r="W319" s="129"/>
      <c r="X319" s="129"/>
      <c r="Y319" s="129"/>
      <c r="Z319" s="129"/>
      <c r="AA319" s="129"/>
      <c r="AB319" s="129"/>
      <c r="AC319" s="129"/>
      <c r="AD319" s="129"/>
      <c r="AE319" s="129"/>
      <c r="AF319" s="129"/>
      <c r="AG319" s="129"/>
      <c r="AH319" s="129"/>
      <c r="AI319" s="129"/>
      <c r="AK319" s="140"/>
      <c r="AL319" s="129"/>
    </row>
    <row r="320" spans="6:38" hidden="1" x14ac:dyDescent="0.25">
      <c r="F320" s="129"/>
      <c r="G320" s="129"/>
      <c r="H320" s="129"/>
      <c r="I320" s="129"/>
      <c r="J320" s="129"/>
      <c r="K320" s="129"/>
      <c r="L320" s="129"/>
      <c r="M320" s="129"/>
      <c r="N320" s="129"/>
      <c r="O320" s="129"/>
      <c r="P320" s="129"/>
      <c r="Q320" s="129"/>
      <c r="R320" s="129"/>
      <c r="S320" s="129"/>
      <c r="T320" s="129"/>
      <c r="U320" s="129"/>
      <c r="V320" s="129"/>
      <c r="W320" s="129"/>
      <c r="X320" s="129"/>
      <c r="Y320" s="129"/>
      <c r="Z320" s="129"/>
      <c r="AA320" s="129"/>
      <c r="AB320" s="129"/>
      <c r="AC320" s="129"/>
      <c r="AD320" s="129"/>
      <c r="AE320" s="129"/>
      <c r="AF320" s="129"/>
      <c r="AG320" s="129"/>
      <c r="AH320" s="129"/>
      <c r="AI320" s="129"/>
    </row>
    <row r="321" spans="6:35" hidden="1" x14ac:dyDescent="0.25">
      <c r="F321" s="129"/>
      <c r="G321" s="129"/>
      <c r="H321" s="129"/>
      <c r="I321" s="129"/>
      <c r="J321" s="129"/>
      <c r="K321" s="129"/>
      <c r="L321" s="129"/>
      <c r="M321" s="129"/>
      <c r="N321" s="129"/>
      <c r="O321" s="129"/>
      <c r="P321" s="129"/>
      <c r="Q321" s="129"/>
      <c r="R321" s="129"/>
      <c r="S321" s="129"/>
      <c r="T321" s="129"/>
      <c r="U321" s="129"/>
      <c r="V321" s="129"/>
      <c r="W321" s="129"/>
      <c r="X321" s="129"/>
      <c r="Y321" s="129"/>
      <c r="Z321" s="129"/>
      <c r="AA321" s="129"/>
      <c r="AB321" s="129"/>
      <c r="AC321" s="129"/>
      <c r="AD321" s="129"/>
      <c r="AE321" s="129"/>
      <c r="AF321" s="129"/>
      <c r="AG321" s="129"/>
      <c r="AH321" s="129"/>
      <c r="AI321" s="129"/>
    </row>
    <row r="322" spans="6:35" hidden="1" x14ac:dyDescent="0.25">
      <c r="F322" s="129"/>
      <c r="G322" s="129"/>
      <c r="H322" s="129"/>
      <c r="I322" s="129"/>
      <c r="J322" s="129"/>
      <c r="K322" s="129"/>
      <c r="L322" s="129"/>
      <c r="M322" s="129"/>
      <c r="N322" s="129"/>
      <c r="O322" s="129"/>
      <c r="P322" s="129"/>
      <c r="Q322" s="129"/>
      <c r="R322" s="129"/>
      <c r="S322" s="129"/>
      <c r="T322" s="129"/>
      <c r="U322" s="129"/>
      <c r="V322" s="129"/>
      <c r="W322" s="129"/>
      <c r="X322" s="129"/>
      <c r="Y322" s="129"/>
      <c r="Z322" s="129"/>
      <c r="AA322" s="129"/>
      <c r="AB322" s="129"/>
      <c r="AC322" s="129"/>
      <c r="AD322" s="129"/>
      <c r="AE322" s="129"/>
      <c r="AF322" s="129"/>
      <c r="AG322" s="129"/>
      <c r="AH322" s="129"/>
      <c r="AI322" s="129"/>
    </row>
    <row r="323" spans="6:35" hidden="1" x14ac:dyDescent="0.25">
      <c r="F323" s="129"/>
      <c r="G323" s="129"/>
      <c r="H323" s="129"/>
      <c r="I323" s="129"/>
      <c r="J323" s="129"/>
      <c r="K323" s="129"/>
      <c r="L323" s="129"/>
      <c r="M323" s="129"/>
      <c r="N323" s="129"/>
      <c r="O323" s="129"/>
      <c r="P323" s="129"/>
      <c r="Q323" s="129"/>
      <c r="R323" s="129"/>
      <c r="S323" s="129"/>
      <c r="T323" s="129"/>
      <c r="U323" s="129"/>
      <c r="V323" s="129"/>
      <c r="W323" s="129"/>
      <c r="X323" s="129"/>
      <c r="Y323" s="129"/>
      <c r="Z323" s="129"/>
      <c r="AA323" s="129"/>
      <c r="AB323" s="129"/>
      <c r="AC323" s="129"/>
      <c r="AD323" s="129"/>
      <c r="AE323" s="129"/>
      <c r="AF323" s="129"/>
      <c r="AG323" s="129"/>
      <c r="AH323" s="129"/>
      <c r="AI323" s="129"/>
    </row>
    <row r="324" spans="6:35" hidden="1" x14ac:dyDescent="0.25"/>
    <row r="325" spans="6:35" hidden="1" x14ac:dyDescent="0.25"/>
  </sheetData>
  <sheetProtection password="CACB" sheet="1" objects="1" scenarios="1" formatCells="0" formatColumns="0" formatRows="0" insertColumns="0" insertRows="0" insertHyperlinks="0" deleteColumns="0" deleteRows="0" sort="0" autoFilter="0" pivotTables="0"/>
  <protectedRanges>
    <protectedRange password="9317" sqref="AI33:AK36" name="Range2"/>
    <protectedRange password="9317" sqref="AI5:AJ28" name="Range1"/>
  </protectedRanges>
  <mergeCells count="16">
    <mergeCell ref="K6:L6"/>
    <mergeCell ref="C1:D1"/>
    <mergeCell ref="E15:F15"/>
    <mergeCell ref="K8:L9"/>
    <mergeCell ref="D23:E24"/>
    <mergeCell ref="F23:F24"/>
    <mergeCell ref="H12:H13"/>
    <mergeCell ref="G3:I3"/>
    <mergeCell ref="G6:I6"/>
    <mergeCell ref="G7:I7"/>
    <mergeCell ref="G10:I10"/>
    <mergeCell ref="G11:I11"/>
    <mergeCell ref="G4:I5"/>
    <mergeCell ref="G8:I9"/>
    <mergeCell ref="G12:G13"/>
    <mergeCell ref="I12:I13"/>
  </mergeCells>
  <conditionalFormatting sqref="L15:AI15 N14:AI14 G6:G7">
    <cfRule type="cellIs" dxfId="16" priority="37" operator="equal">
      <formula>"Keep it up"</formula>
    </cfRule>
  </conditionalFormatting>
  <conditionalFormatting sqref="AL5:AL28">
    <cfRule type="expression" dxfId="15" priority="34">
      <formula>IF(AR5&gt;=50%,TRUE,FALSE)</formula>
    </cfRule>
  </conditionalFormatting>
  <conditionalFormatting sqref="F25:I27 F23:I23">
    <cfRule type="containsText" dxfId="14" priority="8" operator="containsText" text="No">
      <formula>NOT(ISERROR(SEARCH("No",F23)))</formula>
    </cfRule>
  </conditionalFormatting>
  <conditionalFormatting sqref="F23:I27">
    <cfRule type="containsText" dxfId="13" priority="6" operator="containsText" text="Yes">
      <formula>NOT(ISERROR(SEARCH("Yes",F23)))</formula>
    </cfRule>
  </conditionalFormatting>
  <conditionalFormatting sqref="G8">
    <cfRule type="containsText" dxfId="12" priority="3" operator="containsText" text="☠">
      <formula>NOT(ISERROR(SEARCH("☠",G8)))</formula>
    </cfRule>
    <cfRule type="containsText" dxfId="11" priority="4" operator="containsText" text="★★★★½">
      <formula>NOT(ISERROR(SEARCH("★★★★½",G8)))</formula>
    </cfRule>
    <cfRule type="containsText" dxfId="10" priority="5" operator="containsText" text="★★★★">
      <formula>NOT(ISERROR(SEARCH("★★★★",G8)))</formula>
    </cfRule>
  </conditionalFormatting>
  <dataValidations count="20">
    <dataValidation allowBlank="1" showInputMessage="1" showErrorMessage="1" prompt="Includes Setup that should match with the IRT guidelines/CNOW guidelines." sqref="AJ17"/>
    <dataValidation allowBlank="1" showInputMessage="1" showErrorMessage="1" prompt="Relates to the Journal entries." sqref="AJ14"/>
    <dataValidation allowBlank="1" showInputMessage="1" showErrorMessage="1" prompt="JE tags for the same dates, descriptions, reference tab, requirement tags etc. " sqref="AJ13"/>
    <dataValidation allowBlank="1" showInputMessage="1" showErrorMessage="1" prompt="Core consistency check with the text - question information which excludes rephrasing the requirement for online rendering." sqref="AJ7"/>
    <dataValidation allowBlank="1" showInputMessage="1" showErrorMessage="1" prompt="Consistency for the set-ups, instruction, suffix for the entry fields, formats etc. throughout the chapter or project._x000a_Initial checker/Reviewer should check with the Reviewer/QA's on this." sqref="AJ12"/>
    <dataValidation allowBlank="1" showInputMessage="1" showErrorMessage="1" prompt="Issues generally observed in questions which are conceptually incorrect. e.g., values generated for the question in dataset/ connect." sqref="AJ5"/>
    <dataValidation allowBlank="1" showInputMessage="1" showErrorMessage="1" prompt="Duplicate or conflicting distractor, Dropdown option inconsistent with COA, Order of entry issue." sqref="AJ11"/>
    <dataValidation allowBlank="1" showInputMessage="1" showErrorMessage="1" prompt="Give-away to solve the answer. (Hints/Rollover/CMW)" sqref="AJ10"/>
    <dataValidation allowBlank="1" showInputMessage="1" showErrorMessage="1" prompt="Incorrect Feedback (CMW/ Post submission/ Explanation)" sqref="AJ9"/>
    <dataValidation allowBlank="1" showInputMessage="1" showErrorMessage="1" prompt="Missing instruction, Irrelevant instruction to be deleted." sqref="AJ8"/>
    <dataValidation type="list" allowBlank="1" showInputMessage="1" showErrorMessage="1" sqref="F25:I30 F23:I23">
      <formula1>"Click to select, Yes, No"</formula1>
    </dataValidation>
    <dataValidation allowBlank="1" showInputMessage="1" showErrorMessage="1" prompt="Enter the question count of static + question count of Algo questions as provided in the report." sqref="K17:AI21 E11"/>
    <dataValidation allowBlank="1" showInputMessage="1" showErrorMessage="1" prompt="Calculation issues due to incorrect linking which affects the computation." sqref="AJ6"/>
    <dataValidation allowBlank="1" showInputMessage="1" showErrorMessage="1" prompt="Enter the total number of comments rephrased during the review process. Do not include minor changes such as correction of typos." sqref="E13"/>
    <dataValidation allowBlank="1" showInputMessage="1" showErrorMessage="1" prompt="Project name and edition" sqref="E3"/>
    <dataValidation allowBlank="1" showInputMessage="1" showErrorMessage="1" prompt="Check the back-end tool for any errors in the formulas in the IRT setup tables." sqref="AJ18"/>
    <dataValidation allowBlank="1" showInputMessage="1" showErrorMessage="1" prompt="Acceptance of positive/negative values in the setups provided online." sqref="AJ19"/>
    <dataValidation allowBlank="1" showInputMessage="1" showErrorMessage="1" prompt="Check for toggle group issues and shuffle group issues to ensure order of entry is taken care of" sqref="AJ20"/>
    <dataValidation allowBlank="1" showInputMessage="1" showErrorMessage="1" prompt="Check for graded/non-graded characteristic of the cells and ensure all the required cells are considered for grading" sqref="AJ21"/>
    <dataValidation operator="equal" allowBlank="1" showInputMessage="1" showErrorMessage="1" prompt="USE &quot;CTRL+;&quot; to enter the date of review" sqref="E7"/>
  </dataValidations>
  <hyperlinks>
    <hyperlink ref="C1" location="'AC Report'!B19" tooltip="REPORT" display="Report"/>
    <hyperlink ref="N1" location="'Reviewer''s report'!AI1:AL1" tooltip="issue count table" display="=&gt;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ltText="USE THIS COMMAND TOOL TO UPDATE THE PT TRACKER." r:id="rId5">
            <anchor moveWithCells="1">
              <from>
                <xdr:col>9</xdr:col>
                <xdr:colOff>561975</xdr:colOff>
                <xdr:row>6</xdr:row>
                <xdr:rowOff>180975</xdr:rowOff>
              </from>
              <to>
                <xdr:col>12</xdr:col>
                <xdr:colOff>19050</xdr:colOff>
                <xdr:row>8</xdr:row>
                <xdr:rowOff>161925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29"/>
  <sheetViews>
    <sheetView showGridLines="0" showRowColHeaders="0" zoomScale="85" zoomScaleNormal="85" workbookViewId="0">
      <pane xSplit="1" ySplit="26" topLeftCell="B27" activePane="bottomRight" state="frozen"/>
      <selection activeCell="B1" sqref="B1"/>
      <selection pane="topRight" activeCell="B1" sqref="B1"/>
      <selection pane="bottomLeft" activeCell="B1" sqref="B1"/>
      <selection pane="bottomRight" activeCell="B27" sqref="B27"/>
    </sheetView>
  </sheetViews>
  <sheetFormatPr defaultColWidth="0" defaultRowHeight="15" zeroHeight="1" x14ac:dyDescent="0.25"/>
  <cols>
    <col min="1" max="1" width="4.42578125" bestFit="1" customWidth="1"/>
    <col min="2" max="2" width="21.85546875" customWidth="1"/>
    <col min="3" max="3" width="15" customWidth="1"/>
    <col min="4" max="4" width="11.28515625" style="201" bestFit="1" customWidth="1"/>
    <col min="5" max="5" width="43.140625" customWidth="1"/>
    <col min="6" max="6" width="51.85546875" customWidth="1"/>
    <col min="7" max="7" width="32.42578125" customWidth="1"/>
    <col min="8" max="8" width="26.42578125" customWidth="1"/>
    <col min="9" max="9" width="4.42578125" style="187" bestFit="1" customWidth="1"/>
    <col min="10" max="16384" width="9.140625" hidden="1"/>
  </cols>
  <sheetData>
    <row r="1" spans="2:8" ht="19.5" thickBot="1" x14ac:dyDescent="0.35">
      <c r="B1" s="308" t="s">
        <v>64</v>
      </c>
      <c r="C1" s="308"/>
    </row>
    <row r="2" spans="2:8" hidden="1" x14ac:dyDescent="0.25">
      <c r="G2" s="22" t="s">
        <v>9</v>
      </c>
      <c r="H2" s="22" t="s">
        <v>9</v>
      </c>
    </row>
    <row r="3" spans="2:8" hidden="1" x14ac:dyDescent="0.25">
      <c r="G3" s="22" t="s">
        <v>11</v>
      </c>
      <c r="H3" s="22" t="s">
        <v>11</v>
      </c>
    </row>
    <row r="4" spans="2:8" hidden="1" x14ac:dyDescent="0.25">
      <c r="G4" s="22" t="s">
        <v>13</v>
      </c>
      <c r="H4" s="22" t="s">
        <v>13</v>
      </c>
    </row>
    <row r="5" spans="2:8" hidden="1" x14ac:dyDescent="0.25">
      <c r="G5" s="22" t="s">
        <v>15</v>
      </c>
      <c r="H5" s="22" t="s">
        <v>15</v>
      </c>
    </row>
    <row r="6" spans="2:8" hidden="1" x14ac:dyDescent="0.25">
      <c r="G6" s="22" t="s">
        <v>16</v>
      </c>
      <c r="H6" s="22" t="s">
        <v>16</v>
      </c>
    </row>
    <row r="7" spans="2:8" hidden="1" x14ac:dyDescent="0.25">
      <c r="G7" s="22" t="s">
        <v>17</v>
      </c>
      <c r="H7" s="22" t="s">
        <v>17</v>
      </c>
    </row>
    <row r="8" spans="2:8" hidden="1" x14ac:dyDescent="0.25">
      <c r="G8" s="22" t="s">
        <v>18</v>
      </c>
      <c r="H8" s="22" t="s">
        <v>18</v>
      </c>
    </row>
    <row r="9" spans="2:8" hidden="1" x14ac:dyDescent="0.25">
      <c r="G9" s="22" t="s">
        <v>22</v>
      </c>
      <c r="H9" s="22" t="s">
        <v>22</v>
      </c>
    </row>
    <row r="10" spans="2:8" hidden="1" x14ac:dyDescent="0.25">
      <c r="G10" s="22" t="s">
        <v>24</v>
      </c>
      <c r="H10" s="22" t="s">
        <v>24</v>
      </c>
    </row>
    <row r="11" spans="2:8" hidden="1" x14ac:dyDescent="0.25">
      <c r="G11" s="22" t="s">
        <v>26</v>
      </c>
      <c r="H11" s="22" t="s">
        <v>26</v>
      </c>
    </row>
    <row r="12" spans="2:8" hidden="1" x14ac:dyDescent="0.25">
      <c r="G12" s="22" t="s">
        <v>28</v>
      </c>
      <c r="H12" s="22" t="s">
        <v>28</v>
      </c>
    </row>
    <row r="13" spans="2:8" hidden="1" x14ac:dyDescent="0.25">
      <c r="G13" s="22" t="s">
        <v>29</v>
      </c>
      <c r="H13" s="22" t="s">
        <v>29</v>
      </c>
    </row>
    <row r="14" spans="2:8" hidden="1" x14ac:dyDescent="0.25">
      <c r="G14" s="22" t="s">
        <v>83</v>
      </c>
      <c r="H14" s="22" t="s">
        <v>83</v>
      </c>
    </row>
    <row r="15" spans="2:8" hidden="1" x14ac:dyDescent="0.25">
      <c r="D15" s="203"/>
      <c r="G15" s="22" t="s">
        <v>84</v>
      </c>
      <c r="H15" s="22" t="s">
        <v>84</v>
      </c>
    </row>
    <row r="16" spans="2:8" hidden="1" x14ac:dyDescent="0.25">
      <c r="D16" s="203"/>
      <c r="G16" s="22" t="s">
        <v>85</v>
      </c>
      <c r="H16" s="22" t="s">
        <v>85</v>
      </c>
    </row>
    <row r="17" spans="1:9" hidden="1" x14ac:dyDescent="0.25">
      <c r="D17" s="203"/>
      <c r="G17" s="22" t="s">
        <v>86</v>
      </c>
      <c r="H17" s="22" t="s">
        <v>86</v>
      </c>
    </row>
    <row r="18" spans="1:9" hidden="1" x14ac:dyDescent="0.25">
      <c r="D18" s="203"/>
      <c r="G18" s="22" t="s">
        <v>87</v>
      </c>
      <c r="H18" s="22" t="s">
        <v>87</v>
      </c>
    </row>
    <row r="19" spans="1:9" hidden="1" x14ac:dyDescent="0.25">
      <c r="G19" s="22" t="s">
        <v>31</v>
      </c>
      <c r="H19" s="22" t="s">
        <v>31</v>
      </c>
    </row>
    <row r="20" spans="1:9" hidden="1" x14ac:dyDescent="0.25">
      <c r="G20" s="22" t="s">
        <v>32</v>
      </c>
      <c r="H20" s="22" t="s">
        <v>32</v>
      </c>
    </row>
    <row r="21" spans="1:9" hidden="1" x14ac:dyDescent="0.25">
      <c r="G21" s="108" t="s">
        <v>33</v>
      </c>
      <c r="H21" s="108" t="s">
        <v>33</v>
      </c>
    </row>
    <row r="22" spans="1:9" hidden="1" x14ac:dyDescent="0.25">
      <c r="G22" s="118" t="str">
        <f>'Reviewer''s report'!AJ33</f>
        <v>Incorrect reporting</v>
      </c>
      <c r="H22" s="118" t="str">
        <f>G22</f>
        <v>Incorrect reporting</v>
      </c>
    </row>
    <row r="23" spans="1:9" ht="15.75" hidden="1" customHeight="1" x14ac:dyDescent="0.25">
      <c r="B23" s="307"/>
      <c r="C23" s="307"/>
      <c r="G23" s="118" t="str">
        <f>'Reviewer''s report'!AJ34</f>
        <v>Algo consistency</v>
      </c>
      <c r="H23" s="119" t="str">
        <f>G23</f>
        <v>Algo consistency</v>
      </c>
    </row>
    <row r="24" spans="1:9" hidden="1" x14ac:dyDescent="0.25">
      <c r="G24" s="118" t="str">
        <f>'Reviewer''s report'!AJ35</f>
        <v>Adherence to guidelines</v>
      </c>
      <c r="H24" s="119" t="str">
        <f>G24</f>
        <v>Adherence to guidelines</v>
      </c>
    </row>
    <row r="25" spans="1:9" ht="15.75" hidden="1" thickBot="1" x14ac:dyDescent="0.3">
      <c r="G25" s="118">
        <f>'Reviewer''s report'!AJ36</f>
        <v>0</v>
      </c>
      <c r="H25" s="119">
        <f>G25</f>
        <v>0</v>
      </c>
    </row>
    <row r="26" spans="1:9" s="86" customFormat="1" ht="16.5" thickBot="1" x14ac:dyDescent="0.3">
      <c r="B26" s="113" t="s">
        <v>34</v>
      </c>
      <c r="C26" s="114" t="s">
        <v>35</v>
      </c>
      <c r="D26" s="114" t="s">
        <v>74</v>
      </c>
      <c r="E26" s="115" t="s">
        <v>51</v>
      </c>
      <c r="F26" s="115" t="s">
        <v>37</v>
      </c>
      <c r="G26" s="114" t="s">
        <v>80</v>
      </c>
      <c r="H26" s="116" t="s">
        <v>72</v>
      </c>
      <c r="I26" s="208"/>
    </row>
    <row r="27" spans="1:9" x14ac:dyDescent="0.25">
      <c r="A27">
        <v>1</v>
      </c>
      <c r="B27" s="109"/>
      <c r="C27" s="110"/>
      <c r="D27" s="110"/>
      <c r="E27" s="111"/>
      <c r="F27" s="111"/>
      <c r="G27" s="112"/>
      <c r="H27" s="112"/>
      <c r="I27" s="187">
        <v>1</v>
      </c>
    </row>
    <row r="28" spans="1:9" x14ac:dyDescent="0.25">
      <c r="A28">
        <v>2</v>
      </c>
      <c r="B28" s="68"/>
      <c r="C28" s="87"/>
      <c r="D28" s="110"/>
      <c r="E28" s="70"/>
      <c r="F28" s="70"/>
      <c r="G28" s="112"/>
      <c r="H28" s="112"/>
      <c r="I28" s="187">
        <v>2</v>
      </c>
    </row>
    <row r="29" spans="1:9" x14ac:dyDescent="0.25">
      <c r="A29">
        <v>3</v>
      </c>
      <c r="B29" s="68"/>
      <c r="C29" s="87"/>
      <c r="D29" s="110"/>
      <c r="E29" s="70"/>
      <c r="F29" s="70"/>
      <c r="G29" s="112"/>
      <c r="H29" s="112"/>
      <c r="I29" s="187">
        <v>3</v>
      </c>
    </row>
    <row r="30" spans="1:9" x14ac:dyDescent="0.25">
      <c r="A30">
        <v>4</v>
      </c>
      <c r="B30" s="68"/>
      <c r="C30" s="87"/>
      <c r="D30" s="110"/>
      <c r="E30" s="70"/>
      <c r="F30" s="70"/>
      <c r="G30" s="112"/>
      <c r="H30" s="112"/>
      <c r="I30" s="187">
        <v>4</v>
      </c>
    </row>
    <row r="31" spans="1:9" x14ac:dyDescent="0.25">
      <c r="A31">
        <v>5</v>
      </c>
      <c r="B31" s="68"/>
      <c r="C31" s="87"/>
      <c r="D31" s="110"/>
      <c r="E31" s="70"/>
      <c r="F31" s="70"/>
      <c r="G31" s="112"/>
      <c r="H31" s="112"/>
      <c r="I31" s="187">
        <v>5</v>
      </c>
    </row>
    <row r="32" spans="1:9" x14ac:dyDescent="0.25">
      <c r="A32">
        <v>6</v>
      </c>
      <c r="B32" s="68"/>
      <c r="C32" s="87"/>
      <c r="D32" s="110"/>
      <c r="E32" s="70"/>
      <c r="F32" s="70"/>
      <c r="G32" s="112"/>
      <c r="H32" s="112"/>
      <c r="I32" s="187">
        <v>6</v>
      </c>
    </row>
    <row r="33" spans="1:9" x14ac:dyDescent="0.25">
      <c r="A33">
        <v>7</v>
      </c>
      <c r="B33" s="68"/>
      <c r="C33" s="87"/>
      <c r="D33" s="110"/>
      <c r="E33" s="70"/>
      <c r="F33" s="70"/>
      <c r="G33" s="112"/>
      <c r="H33" s="112"/>
      <c r="I33" s="187">
        <v>7</v>
      </c>
    </row>
    <row r="34" spans="1:9" x14ac:dyDescent="0.25">
      <c r="A34">
        <v>8</v>
      </c>
      <c r="B34" s="68"/>
      <c r="C34" s="87"/>
      <c r="D34" s="110"/>
      <c r="E34" s="70"/>
      <c r="F34" s="70"/>
      <c r="G34" s="112"/>
      <c r="H34" s="112"/>
      <c r="I34" s="187">
        <v>8</v>
      </c>
    </row>
    <row r="35" spans="1:9" x14ac:dyDescent="0.25">
      <c r="A35">
        <v>9</v>
      </c>
      <c r="B35" s="209"/>
      <c r="C35" s="204"/>
      <c r="D35" s="110"/>
      <c r="E35" s="74"/>
      <c r="F35" s="74"/>
      <c r="G35" s="112"/>
      <c r="H35" s="112"/>
      <c r="I35" s="187">
        <v>9</v>
      </c>
    </row>
    <row r="36" spans="1:9" x14ac:dyDescent="0.25">
      <c r="A36">
        <v>10</v>
      </c>
      <c r="B36" s="209"/>
      <c r="C36" s="204"/>
      <c r="D36" s="204"/>
      <c r="E36" s="74"/>
      <c r="F36" s="74"/>
      <c r="G36" s="112"/>
      <c r="H36" s="112"/>
      <c r="I36" s="187">
        <v>10</v>
      </c>
    </row>
    <row r="37" spans="1:9" x14ac:dyDescent="0.25">
      <c r="A37">
        <v>11</v>
      </c>
      <c r="B37" s="209"/>
      <c r="C37" s="204"/>
      <c r="D37" s="204"/>
      <c r="E37" s="74"/>
      <c r="F37" s="74"/>
      <c r="G37" s="112"/>
      <c r="H37" s="112"/>
      <c r="I37" s="187">
        <v>11</v>
      </c>
    </row>
    <row r="38" spans="1:9" x14ac:dyDescent="0.25">
      <c r="A38">
        <v>12</v>
      </c>
      <c r="B38" s="209"/>
      <c r="C38" s="204"/>
      <c r="D38" s="204"/>
      <c r="E38" s="74"/>
      <c r="F38" s="74"/>
      <c r="G38" s="112"/>
      <c r="H38" s="112"/>
      <c r="I38" s="187">
        <v>12</v>
      </c>
    </row>
    <row r="39" spans="1:9" x14ac:dyDescent="0.25">
      <c r="A39">
        <v>13</v>
      </c>
      <c r="B39" s="209"/>
      <c r="C39" s="204"/>
      <c r="D39" s="204"/>
      <c r="E39" s="74"/>
      <c r="F39" s="74"/>
      <c r="G39" s="112"/>
      <c r="H39" s="112"/>
      <c r="I39" s="187">
        <v>13</v>
      </c>
    </row>
    <row r="40" spans="1:9" x14ac:dyDescent="0.25">
      <c r="A40">
        <v>14</v>
      </c>
      <c r="B40" s="209"/>
      <c r="C40" s="204"/>
      <c r="D40" s="204"/>
      <c r="E40" s="74"/>
      <c r="F40" s="74"/>
      <c r="G40" s="112"/>
      <c r="H40" s="112"/>
      <c r="I40" s="187">
        <v>14</v>
      </c>
    </row>
    <row r="41" spans="1:9" x14ac:dyDescent="0.25">
      <c r="A41">
        <v>15</v>
      </c>
      <c r="B41" s="209"/>
      <c r="C41" s="204"/>
      <c r="D41" s="204"/>
      <c r="E41" s="74"/>
      <c r="F41" s="74"/>
      <c r="G41" s="112"/>
      <c r="H41" s="112"/>
      <c r="I41" s="187">
        <v>15</v>
      </c>
    </row>
    <row r="42" spans="1:9" x14ac:dyDescent="0.25">
      <c r="A42">
        <v>16</v>
      </c>
      <c r="B42" s="209"/>
      <c r="C42" s="204"/>
      <c r="D42" s="204"/>
      <c r="E42" s="74"/>
      <c r="F42" s="74"/>
      <c r="G42" s="112"/>
      <c r="H42" s="112"/>
      <c r="I42" s="187">
        <v>16</v>
      </c>
    </row>
    <row r="43" spans="1:9" x14ac:dyDescent="0.25">
      <c r="A43">
        <v>17</v>
      </c>
      <c r="B43" s="209"/>
      <c r="C43" s="204"/>
      <c r="D43" s="204"/>
      <c r="E43" s="74"/>
      <c r="F43" s="74"/>
      <c r="G43" s="112"/>
      <c r="H43" s="112"/>
      <c r="I43" s="187">
        <v>17</v>
      </c>
    </row>
    <row r="44" spans="1:9" x14ac:dyDescent="0.25">
      <c r="A44">
        <v>18</v>
      </c>
      <c r="B44" s="209"/>
      <c r="C44" s="204"/>
      <c r="D44" s="204"/>
      <c r="E44" s="74"/>
      <c r="F44" s="74"/>
      <c r="G44" s="112"/>
      <c r="H44" s="112"/>
      <c r="I44" s="187">
        <v>18</v>
      </c>
    </row>
    <row r="45" spans="1:9" x14ac:dyDescent="0.25">
      <c r="A45">
        <v>19</v>
      </c>
      <c r="B45" s="209"/>
      <c r="C45" s="204"/>
      <c r="D45" s="204"/>
      <c r="E45" s="74"/>
      <c r="F45" s="74"/>
      <c r="G45" s="112"/>
      <c r="H45" s="112"/>
      <c r="I45" s="187">
        <v>19</v>
      </c>
    </row>
    <row r="46" spans="1:9" x14ac:dyDescent="0.25">
      <c r="A46">
        <v>20</v>
      </c>
      <c r="B46" s="209"/>
      <c r="C46" s="204"/>
      <c r="D46" s="204"/>
      <c r="E46" s="74"/>
      <c r="F46" s="74"/>
      <c r="G46" s="112"/>
      <c r="H46" s="112"/>
      <c r="I46" s="187">
        <v>20</v>
      </c>
    </row>
    <row r="47" spans="1:9" x14ac:dyDescent="0.25">
      <c r="A47">
        <v>21</v>
      </c>
      <c r="B47" s="209"/>
      <c r="C47" s="204"/>
      <c r="D47" s="204"/>
      <c r="E47" s="74"/>
      <c r="F47" s="74"/>
      <c r="G47" s="112"/>
      <c r="H47" s="112"/>
      <c r="I47" s="187">
        <v>21</v>
      </c>
    </row>
    <row r="48" spans="1:9" x14ac:dyDescent="0.25">
      <c r="A48">
        <v>22</v>
      </c>
      <c r="B48" s="209"/>
      <c r="C48" s="204"/>
      <c r="D48" s="204"/>
      <c r="E48" s="74"/>
      <c r="F48" s="74"/>
      <c r="G48" s="112"/>
      <c r="H48" s="112"/>
      <c r="I48" s="187">
        <v>22</v>
      </c>
    </row>
    <row r="49" spans="1:9" x14ac:dyDescent="0.25">
      <c r="A49">
        <v>23</v>
      </c>
      <c r="B49" s="209"/>
      <c r="C49" s="204"/>
      <c r="D49" s="204"/>
      <c r="E49" s="74"/>
      <c r="F49" s="74"/>
      <c r="G49" s="112"/>
      <c r="H49" s="112"/>
      <c r="I49" s="187">
        <v>23</v>
      </c>
    </row>
    <row r="50" spans="1:9" x14ac:dyDescent="0.25">
      <c r="A50">
        <v>24</v>
      </c>
      <c r="B50" s="209"/>
      <c r="C50" s="204"/>
      <c r="D50" s="204"/>
      <c r="E50" s="74"/>
      <c r="F50" s="74"/>
      <c r="G50" s="112"/>
      <c r="H50" s="112"/>
      <c r="I50" s="187">
        <v>24</v>
      </c>
    </row>
    <row r="51" spans="1:9" x14ac:dyDescent="0.25">
      <c r="A51">
        <v>25</v>
      </c>
      <c r="B51" s="209"/>
      <c r="C51" s="204"/>
      <c r="D51" s="204"/>
      <c r="E51" s="74"/>
      <c r="F51" s="74"/>
      <c r="G51" s="112"/>
      <c r="H51" s="112"/>
      <c r="I51" s="187">
        <v>25</v>
      </c>
    </row>
    <row r="52" spans="1:9" x14ac:dyDescent="0.25">
      <c r="A52">
        <v>26</v>
      </c>
      <c r="B52" s="209"/>
      <c r="C52" s="204"/>
      <c r="D52" s="204"/>
      <c r="E52" s="74"/>
      <c r="F52" s="74"/>
      <c r="G52" s="112"/>
      <c r="H52" s="112"/>
      <c r="I52" s="187">
        <v>26</v>
      </c>
    </row>
    <row r="53" spans="1:9" x14ac:dyDescent="0.25">
      <c r="A53">
        <v>27</v>
      </c>
      <c r="B53" s="209"/>
      <c r="C53" s="204"/>
      <c r="D53" s="204"/>
      <c r="E53" s="74"/>
      <c r="F53" s="74"/>
      <c r="G53" s="112"/>
      <c r="H53" s="112"/>
      <c r="I53" s="187">
        <v>27</v>
      </c>
    </row>
    <row r="54" spans="1:9" x14ac:dyDescent="0.25">
      <c r="A54">
        <v>28</v>
      </c>
      <c r="B54" s="209"/>
      <c r="C54" s="204"/>
      <c r="D54" s="204"/>
      <c r="E54" s="74"/>
      <c r="F54" s="74"/>
      <c r="G54" s="112"/>
      <c r="H54" s="112"/>
      <c r="I54" s="187">
        <v>28</v>
      </c>
    </row>
    <row r="55" spans="1:9" x14ac:dyDescent="0.25">
      <c r="A55">
        <v>29</v>
      </c>
      <c r="B55" s="209"/>
      <c r="C55" s="204"/>
      <c r="D55" s="204"/>
      <c r="E55" s="74"/>
      <c r="F55" s="74"/>
      <c r="G55" s="112"/>
      <c r="H55" s="112"/>
      <c r="I55" s="187">
        <v>29</v>
      </c>
    </row>
    <row r="56" spans="1:9" x14ac:dyDescent="0.25">
      <c r="A56">
        <v>30</v>
      </c>
      <c r="B56" s="209"/>
      <c r="C56" s="204"/>
      <c r="D56" s="204"/>
      <c r="E56" s="74"/>
      <c r="F56" s="74"/>
      <c r="G56" s="112"/>
      <c r="H56" s="112"/>
      <c r="I56" s="187">
        <v>30</v>
      </c>
    </row>
    <row r="57" spans="1:9" x14ac:dyDescent="0.25">
      <c r="A57">
        <v>31</v>
      </c>
      <c r="B57" s="209"/>
      <c r="C57" s="204"/>
      <c r="D57" s="204"/>
      <c r="E57" s="74"/>
      <c r="F57" s="74"/>
      <c r="G57" s="112"/>
      <c r="H57" s="112"/>
      <c r="I57" s="187">
        <v>31</v>
      </c>
    </row>
    <row r="58" spans="1:9" x14ac:dyDescent="0.25">
      <c r="A58">
        <v>32</v>
      </c>
      <c r="B58" s="209"/>
      <c r="C58" s="204"/>
      <c r="D58" s="204"/>
      <c r="E58" s="74"/>
      <c r="F58" s="74"/>
      <c r="G58" s="112"/>
      <c r="H58" s="112"/>
      <c r="I58" s="187">
        <v>32</v>
      </c>
    </row>
    <row r="59" spans="1:9" x14ac:dyDescent="0.25">
      <c r="A59">
        <v>33</v>
      </c>
      <c r="B59" s="209"/>
      <c r="C59" s="204"/>
      <c r="D59" s="204"/>
      <c r="E59" s="74"/>
      <c r="F59" s="74"/>
      <c r="G59" s="112"/>
      <c r="H59" s="112"/>
      <c r="I59" s="187">
        <v>33</v>
      </c>
    </row>
    <row r="60" spans="1:9" x14ac:dyDescent="0.25">
      <c r="A60">
        <v>34</v>
      </c>
      <c r="B60" s="209"/>
      <c r="C60" s="204"/>
      <c r="D60" s="204"/>
      <c r="E60" s="74"/>
      <c r="F60" s="74"/>
      <c r="G60" s="112"/>
      <c r="H60" s="112"/>
      <c r="I60" s="187">
        <v>34</v>
      </c>
    </row>
    <row r="61" spans="1:9" x14ac:dyDescent="0.25">
      <c r="A61">
        <v>35</v>
      </c>
      <c r="B61" s="209"/>
      <c r="C61" s="204"/>
      <c r="D61" s="204"/>
      <c r="E61" s="74"/>
      <c r="F61" s="74"/>
      <c r="G61" s="112"/>
      <c r="H61" s="112"/>
      <c r="I61" s="187">
        <v>35</v>
      </c>
    </row>
    <row r="62" spans="1:9" x14ac:dyDescent="0.25">
      <c r="A62">
        <v>36</v>
      </c>
      <c r="B62" s="209"/>
      <c r="C62" s="204"/>
      <c r="D62" s="204"/>
      <c r="E62" s="74"/>
      <c r="F62" s="74"/>
      <c r="G62" s="112"/>
      <c r="H62" s="112"/>
      <c r="I62" s="187">
        <v>36</v>
      </c>
    </row>
    <row r="63" spans="1:9" x14ac:dyDescent="0.25">
      <c r="A63">
        <v>37</v>
      </c>
      <c r="B63" s="209"/>
      <c r="C63" s="204"/>
      <c r="D63" s="204"/>
      <c r="E63" s="74"/>
      <c r="F63" s="74"/>
      <c r="G63" s="112"/>
      <c r="H63" s="112"/>
      <c r="I63" s="187">
        <v>37</v>
      </c>
    </row>
    <row r="64" spans="1:9" x14ac:dyDescent="0.25">
      <c r="A64">
        <v>38</v>
      </c>
      <c r="B64" s="209"/>
      <c r="C64" s="204"/>
      <c r="D64" s="204"/>
      <c r="E64" s="74"/>
      <c r="F64" s="74"/>
      <c r="G64" s="71"/>
      <c r="H64" s="112"/>
      <c r="I64" s="187">
        <v>38</v>
      </c>
    </row>
    <row r="65" spans="1:9" x14ac:dyDescent="0.25">
      <c r="A65">
        <v>39</v>
      </c>
      <c r="B65" s="209"/>
      <c r="C65" s="204"/>
      <c r="D65" s="204"/>
      <c r="E65" s="74"/>
      <c r="F65" s="74"/>
      <c r="G65" s="71"/>
      <c r="H65" s="112"/>
      <c r="I65" s="187">
        <v>39</v>
      </c>
    </row>
    <row r="66" spans="1:9" x14ac:dyDescent="0.25">
      <c r="A66">
        <v>40</v>
      </c>
      <c r="B66" s="209"/>
      <c r="C66" s="204"/>
      <c r="D66" s="204"/>
      <c r="E66" s="74"/>
      <c r="F66" s="74"/>
      <c r="G66" s="71"/>
      <c r="H66" s="112"/>
      <c r="I66" s="187">
        <v>40</v>
      </c>
    </row>
    <row r="67" spans="1:9" x14ac:dyDescent="0.25">
      <c r="A67">
        <v>41</v>
      </c>
      <c r="B67" s="209"/>
      <c r="C67" s="204"/>
      <c r="D67" s="204"/>
      <c r="E67" s="74"/>
      <c r="F67" s="74"/>
      <c r="G67" s="71"/>
      <c r="H67" s="112"/>
      <c r="I67" s="187">
        <v>41</v>
      </c>
    </row>
    <row r="68" spans="1:9" x14ac:dyDescent="0.25">
      <c r="A68">
        <v>42</v>
      </c>
      <c r="B68" s="209"/>
      <c r="C68" s="204"/>
      <c r="D68" s="204"/>
      <c r="E68" s="74"/>
      <c r="F68" s="74"/>
      <c r="G68" s="71"/>
      <c r="H68" s="112"/>
      <c r="I68" s="187">
        <v>42</v>
      </c>
    </row>
    <row r="69" spans="1:9" x14ac:dyDescent="0.25">
      <c r="A69">
        <v>43</v>
      </c>
      <c r="B69" s="209"/>
      <c r="C69" s="204"/>
      <c r="D69" s="204"/>
      <c r="E69" s="74"/>
      <c r="F69" s="74"/>
      <c r="G69" s="71"/>
      <c r="H69" s="112"/>
      <c r="I69" s="187">
        <v>43</v>
      </c>
    </row>
    <row r="70" spans="1:9" x14ac:dyDescent="0.25">
      <c r="A70">
        <v>44</v>
      </c>
      <c r="B70" s="209"/>
      <c r="C70" s="204"/>
      <c r="D70" s="204"/>
      <c r="E70" s="74"/>
      <c r="F70" s="74"/>
      <c r="G70" s="71"/>
      <c r="H70" s="84"/>
      <c r="I70" s="187">
        <v>44</v>
      </c>
    </row>
    <row r="71" spans="1:9" x14ac:dyDescent="0.25">
      <c r="A71">
        <v>45</v>
      </c>
      <c r="B71" s="209"/>
      <c r="C71" s="204"/>
      <c r="D71" s="204"/>
      <c r="E71" s="74"/>
      <c r="F71" s="74"/>
      <c r="G71" s="71"/>
      <c r="H71" s="84"/>
      <c r="I71" s="187">
        <v>45</v>
      </c>
    </row>
    <row r="72" spans="1:9" x14ac:dyDescent="0.25">
      <c r="A72">
        <v>46</v>
      </c>
      <c r="B72" s="209"/>
      <c r="C72" s="204"/>
      <c r="D72" s="204"/>
      <c r="E72" s="74"/>
      <c r="F72" s="74"/>
      <c r="G72" s="71"/>
      <c r="H72" s="84"/>
      <c r="I72" s="187">
        <v>46</v>
      </c>
    </row>
    <row r="73" spans="1:9" x14ac:dyDescent="0.25">
      <c r="A73">
        <v>47</v>
      </c>
      <c r="B73" s="209"/>
      <c r="C73" s="204"/>
      <c r="D73" s="204"/>
      <c r="E73" s="74"/>
      <c r="F73" s="74"/>
      <c r="G73" s="71"/>
      <c r="H73" s="84"/>
      <c r="I73" s="187">
        <v>47</v>
      </c>
    </row>
    <row r="74" spans="1:9" x14ac:dyDescent="0.25">
      <c r="A74">
        <v>48</v>
      </c>
      <c r="B74" s="209"/>
      <c r="C74" s="204"/>
      <c r="D74" s="204"/>
      <c r="E74" s="74"/>
      <c r="F74" s="74"/>
      <c r="G74" s="71"/>
      <c r="H74" s="84"/>
      <c r="I74" s="187">
        <v>48</v>
      </c>
    </row>
    <row r="75" spans="1:9" x14ac:dyDescent="0.25">
      <c r="A75">
        <v>49</v>
      </c>
      <c r="B75" s="209"/>
      <c r="C75" s="204"/>
      <c r="D75" s="204"/>
      <c r="E75" s="74"/>
      <c r="F75" s="74"/>
      <c r="G75" s="71"/>
      <c r="H75" s="84"/>
      <c r="I75" s="187">
        <v>49</v>
      </c>
    </row>
    <row r="76" spans="1:9" x14ac:dyDescent="0.25">
      <c r="A76">
        <v>50</v>
      </c>
      <c r="B76" s="209"/>
      <c r="C76" s="204"/>
      <c r="D76" s="204"/>
      <c r="E76" s="74"/>
      <c r="F76" s="74"/>
      <c r="G76" s="71"/>
      <c r="H76" s="84"/>
      <c r="I76" s="187">
        <v>50</v>
      </c>
    </row>
    <row r="77" spans="1:9" x14ac:dyDescent="0.25">
      <c r="A77">
        <v>51</v>
      </c>
      <c r="B77" s="209"/>
      <c r="C77" s="204"/>
      <c r="D77" s="204"/>
      <c r="E77" s="74"/>
      <c r="F77" s="74"/>
      <c r="G77" s="71"/>
      <c r="H77" s="84"/>
      <c r="I77" s="187">
        <v>51</v>
      </c>
    </row>
    <row r="78" spans="1:9" x14ac:dyDescent="0.25">
      <c r="A78">
        <v>52</v>
      </c>
      <c r="B78" s="209"/>
      <c r="C78" s="204"/>
      <c r="D78" s="204"/>
      <c r="E78" s="74"/>
      <c r="F78" s="74"/>
      <c r="G78" s="71"/>
      <c r="H78" s="84"/>
      <c r="I78" s="187">
        <v>52</v>
      </c>
    </row>
    <row r="79" spans="1:9" x14ac:dyDescent="0.25">
      <c r="A79">
        <v>53</v>
      </c>
      <c r="B79" s="209"/>
      <c r="C79" s="204"/>
      <c r="D79" s="204"/>
      <c r="E79" s="74"/>
      <c r="F79" s="74"/>
      <c r="G79" s="71"/>
      <c r="H79" s="84"/>
      <c r="I79" s="187">
        <v>53</v>
      </c>
    </row>
    <row r="80" spans="1:9" x14ac:dyDescent="0.25">
      <c r="A80">
        <v>54</v>
      </c>
      <c r="B80" s="209"/>
      <c r="C80" s="204"/>
      <c r="D80" s="204"/>
      <c r="E80" s="74"/>
      <c r="F80" s="74"/>
      <c r="G80" s="71"/>
      <c r="H80" s="84"/>
      <c r="I80" s="187">
        <v>54</v>
      </c>
    </row>
    <row r="81" spans="1:9" x14ac:dyDescent="0.25">
      <c r="A81">
        <v>55</v>
      </c>
      <c r="B81" s="209"/>
      <c r="C81" s="204"/>
      <c r="D81" s="204"/>
      <c r="E81" s="74"/>
      <c r="F81" s="74"/>
      <c r="G81" s="71"/>
      <c r="H81" s="84"/>
      <c r="I81" s="187">
        <v>55</v>
      </c>
    </row>
    <row r="82" spans="1:9" x14ac:dyDescent="0.25">
      <c r="A82">
        <v>56</v>
      </c>
      <c r="B82" s="209"/>
      <c r="C82" s="204"/>
      <c r="D82" s="204"/>
      <c r="E82" s="74"/>
      <c r="F82" s="74"/>
      <c r="G82" s="71"/>
      <c r="H82" s="84"/>
      <c r="I82" s="187">
        <v>56</v>
      </c>
    </row>
    <row r="83" spans="1:9" x14ac:dyDescent="0.25">
      <c r="A83">
        <v>57</v>
      </c>
      <c r="B83" s="209"/>
      <c r="C83" s="204"/>
      <c r="D83" s="204"/>
      <c r="E83" s="74"/>
      <c r="F83" s="74"/>
      <c r="G83" s="71"/>
      <c r="H83" s="84"/>
      <c r="I83" s="187">
        <v>57</v>
      </c>
    </row>
    <row r="84" spans="1:9" x14ac:dyDescent="0.25">
      <c r="A84">
        <v>58</v>
      </c>
      <c r="B84" s="209"/>
      <c r="C84" s="204"/>
      <c r="D84" s="204"/>
      <c r="E84" s="74"/>
      <c r="F84" s="74"/>
      <c r="G84" s="71"/>
      <c r="H84" s="84"/>
      <c r="I84" s="187">
        <v>58</v>
      </c>
    </row>
    <row r="85" spans="1:9" x14ac:dyDescent="0.25">
      <c r="A85">
        <v>59</v>
      </c>
      <c r="B85" s="209"/>
      <c r="C85" s="204"/>
      <c r="D85" s="204"/>
      <c r="E85" s="74"/>
      <c r="F85" s="74"/>
      <c r="G85" s="76"/>
      <c r="H85" s="84"/>
      <c r="I85" s="187">
        <v>59</v>
      </c>
    </row>
    <row r="86" spans="1:9" x14ac:dyDescent="0.25">
      <c r="A86">
        <v>60</v>
      </c>
      <c r="B86" s="209"/>
      <c r="C86" s="204"/>
      <c r="D86" s="204"/>
      <c r="E86" s="74"/>
      <c r="F86" s="74"/>
      <c r="G86" s="76"/>
      <c r="H86" s="84"/>
      <c r="I86" s="187">
        <v>60</v>
      </c>
    </row>
    <row r="87" spans="1:9" x14ac:dyDescent="0.25">
      <c r="A87">
        <v>61</v>
      </c>
      <c r="B87" s="209"/>
      <c r="C87" s="204"/>
      <c r="D87" s="204"/>
      <c r="E87" s="74"/>
      <c r="F87" s="74"/>
      <c r="G87" s="76"/>
      <c r="H87" s="85"/>
      <c r="I87" s="187">
        <v>61</v>
      </c>
    </row>
    <row r="88" spans="1:9" x14ac:dyDescent="0.25">
      <c r="A88">
        <v>62</v>
      </c>
      <c r="B88" s="209"/>
      <c r="C88" s="204"/>
      <c r="D88" s="204"/>
      <c r="E88" s="74"/>
      <c r="F88" s="74"/>
      <c r="G88" s="76"/>
      <c r="H88" s="84"/>
      <c r="I88" s="187">
        <v>62</v>
      </c>
    </row>
    <row r="89" spans="1:9" x14ac:dyDescent="0.25">
      <c r="A89">
        <v>63</v>
      </c>
      <c r="B89" s="209"/>
      <c r="C89" s="204"/>
      <c r="D89" s="204"/>
      <c r="E89" s="74"/>
      <c r="F89" s="74"/>
      <c r="G89" s="76"/>
      <c r="H89" s="84"/>
      <c r="I89" s="187">
        <v>63</v>
      </c>
    </row>
    <row r="90" spans="1:9" x14ac:dyDescent="0.25">
      <c r="A90">
        <v>64</v>
      </c>
      <c r="B90" s="209"/>
      <c r="C90" s="204"/>
      <c r="D90" s="204"/>
      <c r="E90" s="74"/>
      <c r="F90" s="74"/>
      <c r="G90" s="76"/>
      <c r="H90" s="84"/>
      <c r="I90" s="187">
        <v>64</v>
      </c>
    </row>
    <row r="91" spans="1:9" x14ac:dyDescent="0.25">
      <c r="A91">
        <v>65</v>
      </c>
      <c r="B91" s="209"/>
      <c r="C91" s="204"/>
      <c r="D91" s="204"/>
      <c r="E91" s="74"/>
      <c r="F91" s="74"/>
      <c r="G91" s="76"/>
      <c r="H91" s="84"/>
      <c r="I91" s="187">
        <v>65</v>
      </c>
    </row>
    <row r="92" spans="1:9" x14ac:dyDescent="0.25">
      <c r="A92">
        <v>66</v>
      </c>
      <c r="B92" s="209"/>
      <c r="C92" s="204"/>
      <c r="D92" s="204"/>
      <c r="E92" s="74"/>
      <c r="F92" s="74"/>
      <c r="G92" s="76"/>
      <c r="H92" s="84"/>
      <c r="I92" s="187">
        <v>66</v>
      </c>
    </row>
    <row r="93" spans="1:9" x14ac:dyDescent="0.25">
      <c r="A93">
        <v>67</v>
      </c>
      <c r="B93" s="209"/>
      <c r="C93" s="204"/>
      <c r="D93" s="204"/>
      <c r="E93" s="74"/>
      <c r="F93" s="74"/>
      <c r="G93" s="76"/>
      <c r="H93" s="84"/>
      <c r="I93" s="187">
        <v>67</v>
      </c>
    </row>
    <row r="94" spans="1:9" x14ac:dyDescent="0.25">
      <c r="A94">
        <v>68</v>
      </c>
      <c r="B94" s="209"/>
      <c r="C94" s="204"/>
      <c r="D94" s="204"/>
      <c r="E94" s="74"/>
      <c r="F94" s="74"/>
      <c r="G94" s="76"/>
      <c r="H94" s="85"/>
      <c r="I94" s="187">
        <v>68</v>
      </c>
    </row>
    <row r="95" spans="1:9" x14ac:dyDescent="0.25">
      <c r="A95">
        <v>69</v>
      </c>
      <c r="B95" s="209"/>
      <c r="C95" s="204"/>
      <c r="D95" s="204"/>
      <c r="E95" s="74"/>
      <c r="F95" s="74"/>
      <c r="G95" s="76"/>
      <c r="H95" s="85"/>
      <c r="I95" s="187">
        <v>69</v>
      </c>
    </row>
    <row r="96" spans="1:9" x14ac:dyDescent="0.25">
      <c r="A96">
        <v>70</v>
      </c>
      <c r="B96" s="209"/>
      <c r="C96" s="204"/>
      <c r="D96" s="204"/>
      <c r="E96" s="74"/>
      <c r="F96" s="74"/>
      <c r="G96" s="76"/>
      <c r="H96" s="85"/>
      <c r="I96" s="187">
        <v>70</v>
      </c>
    </row>
    <row r="97" spans="1:9" x14ac:dyDescent="0.25">
      <c r="A97">
        <v>71</v>
      </c>
      <c r="B97" s="209"/>
      <c r="C97" s="204"/>
      <c r="D97" s="204"/>
      <c r="E97" s="74"/>
      <c r="F97" s="74"/>
      <c r="G97" s="76"/>
      <c r="H97" s="85"/>
      <c r="I97" s="187">
        <v>71</v>
      </c>
    </row>
    <row r="98" spans="1:9" x14ac:dyDescent="0.25">
      <c r="A98">
        <v>72</v>
      </c>
      <c r="B98" s="209"/>
      <c r="C98" s="204"/>
      <c r="D98" s="204"/>
      <c r="E98" s="74"/>
      <c r="F98" s="74"/>
      <c r="G98" s="76"/>
      <c r="H98" s="85"/>
      <c r="I98" s="187">
        <v>72</v>
      </c>
    </row>
    <row r="99" spans="1:9" x14ac:dyDescent="0.25">
      <c r="A99">
        <v>73</v>
      </c>
      <c r="B99" s="209"/>
      <c r="C99" s="204"/>
      <c r="D99" s="204"/>
      <c r="E99" s="74"/>
      <c r="F99" s="74"/>
      <c r="G99" s="76"/>
      <c r="H99" s="85"/>
      <c r="I99" s="187">
        <v>73</v>
      </c>
    </row>
    <row r="100" spans="1:9" x14ac:dyDescent="0.25">
      <c r="A100">
        <v>74</v>
      </c>
      <c r="B100" s="209"/>
      <c r="C100" s="204"/>
      <c r="D100" s="204"/>
      <c r="E100" s="74"/>
      <c r="F100" s="74"/>
      <c r="G100" s="76"/>
      <c r="H100" s="85"/>
      <c r="I100" s="187">
        <v>74</v>
      </c>
    </row>
    <row r="101" spans="1:9" x14ac:dyDescent="0.25">
      <c r="A101">
        <v>75</v>
      </c>
      <c r="B101" s="210"/>
      <c r="C101" s="205"/>
      <c r="D101" s="205"/>
      <c r="E101" s="78"/>
      <c r="F101" s="78"/>
      <c r="G101" s="76"/>
      <c r="H101" s="85"/>
      <c r="I101" s="187">
        <v>75</v>
      </c>
    </row>
    <row r="102" spans="1:9" x14ac:dyDescent="0.25">
      <c r="A102">
        <v>76</v>
      </c>
      <c r="B102" s="210"/>
      <c r="C102" s="205"/>
      <c r="D102" s="205"/>
      <c r="E102" s="78"/>
      <c r="F102" s="78"/>
      <c r="G102" s="76"/>
      <c r="H102" s="85"/>
      <c r="I102" s="187">
        <v>76</v>
      </c>
    </row>
    <row r="103" spans="1:9" x14ac:dyDescent="0.25">
      <c r="A103">
        <v>77</v>
      </c>
      <c r="B103" s="210"/>
      <c r="C103" s="205"/>
      <c r="D103" s="205"/>
      <c r="E103" s="78"/>
      <c r="F103" s="78"/>
      <c r="G103" s="76"/>
      <c r="H103" s="85"/>
      <c r="I103" s="187">
        <v>77</v>
      </c>
    </row>
    <row r="104" spans="1:9" x14ac:dyDescent="0.25">
      <c r="A104">
        <v>78</v>
      </c>
      <c r="B104" s="210"/>
      <c r="C104" s="205"/>
      <c r="D104" s="205"/>
      <c r="E104" s="78"/>
      <c r="F104" s="78"/>
      <c r="G104" s="76"/>
      <c r="H104" s="85"/>
      <c r="I104" s="187">
        <v>78</v>
      </c>
    </row>
    <row r="105" spans="1:9" x14ac:dyDescent="0.25">
      <c r="A105">
        <v>79</v>
      </c>
      <c r="B105" s="210"/>
      <c r="C105" s="205"/>
      <c r="D105" s="205"/>
      <c r="E105" s="78"/>
      <c r="F105" s="78"/>
      <c r="G105" s="76"/>
      <c r="H105" s="85"/>
      <c r="I105" s="187">
        <v>79</v>
      </c>
    </row>
    <row r="106" spans="1:9" x14ac:dyDescent="0.25">
      <c r="A106">
        <v>80</v>
      </c>
      <c r="B106" s="210"/>
      <c r="C106" s="205"/>
      <c r="D106" s="205"/>
      <c r="E106" s="78"/>
      <c r="F106" s="78"/>
      <c r="G106" s="76"/>
      <c r="H106" s="85"/>
      <c r="I106" s="187">
        <v>80</v>
      </c>
    </row>
    <row r="107" spans="1:9" x14ac:dyDescent="0.25">
      <c r="A107">
        <v>81</v>
      </c>
      <c r="B107" s="210"/>
      <c r="C107" s="205"/>
      <c r="D107" s="205"/>
      <c r="E107" s="78"/>
      <c r="F107" s="78"/>
      <c r="G107" s="76"/>
      <c r="H107" s="85"/>
      <c r="I107" s="187">
        <v>81</v>
      </c>
    </row>
    <row r="108" spans="1:9" x14ac:dyDescent="0.25">
      <c r="A108">
        <v>82</v>
      </c>
      <c r="B108" s="211"/>
      <c r="C108" s="206"/>
      <c r="D108" s="206"/>
      <c r="E108" s="78"/>
      <c r="F108" s="78"/>
      <c r="G108" s="76"/>
      <c r="H108" s="85"/>
      <c r="I108" s="187">
        <v>82</v>
      </c>
    </row>
    <row r="109" spans="1:9" x14ac:dyDescent="0.25">
      <c r="A109">
        <v>83</v>
      </c>
      <c r="B109" s="211"/>
      <c r="C109" s="206"/>
      <c r="D109" s="206"/>
      <c r="E109" s="78"/>
      <c r="F109" s="78"/>
      <c r="G109" s="76"/>
      <c r="H109" s="85"/>
      <c r="I109" s="187">
        <v>83</v>
      </c>
    </row>
    <row r="110" spans="1:9" x14ac:dyDescent="0.25">
      <c r="A110">
        <v>84</v>
      </c>
      <c r="B110" s="210"/>
      <c r="C110" s="205"/>
      <c r="D110" s="205"/>
      <c r="E110" s="78"/>
      <c r="F110" s="78"/>
      <c r="G110" s="76"/>
      <c r="H110" s="85"/>
      <c r="I110" s="187">
        <v>84</v>
      </c>
    </row>
    <row r="111" spans="1:9" x14ac:dyDescent="0.25">
      <c r="A111">
        <v>85</v>
      </c>
      <c r="B111" s="210"/>
      <c r="C111" s="205"/>
      <c r="D111" s="205"/>
      <c r="E111" s="78"/>
      <c r="F111" s="78"/>
      <c r="G111" s="76"/>
      <c r="H111" s="85"/>
      <c r="I111" s="187">
        <v>85</v>
      </c>
    </row>
    <row r="112" spans="1:9" x14ac:dyDescent="0.25">
      <c r="A112">
        <v>86</v>
      </c>
      <c r="B112" s="210"/>
      <c r="C112" s="205"/>
      <c r="D112" s="205"/>
      <c r="E112" s="78"/>
      <c r="F112" s="78"/>
      <c r="G112" s="76"/>
      <c r="H112" s="85"/>
      <c r="I112" s="187">
        <v>86</v>
      </c>
    </row>
    <row r="113" spans="1:9" x14ac:dyDescent="0.25">
      <c r="A113">
        <v>87</v>
      </c>
      <c r="B113" s="210"/>
      <c r="C113" s="205"/>
      <c r="D113" s="205"/>
      <c r="E113" s="78"/>
      <c r="F113" s="78"/>
      <c r="G113" s="76"/>
      <c r="H113" s="85"/>
      <c r="I113" s="187">
        <v>87</v>
      </c>
    </row>
    <row r="114" spans="1:9" x14ac:dyDescent="0.25">
      <c r="A114">
        <v>88</v>
      </c>
      <c r="B114" s="210"/>
      <c r="C114" s="205"/>
      <c r="D114" s="205"/>
      <c r="E114" s="78"/>
      <c r="F114" s="78"/>
      <c r="G114" s="76"/>
      <c r="H114" s="85"/>
      <c r="I114" s="187">
        <v>88</v>
      </c>
    </row>
    <row r="115" spans="1:9" x14ac:dyDescent="0.25">
      <c r="A115">
        <v>89</v>
      </c>
      <c r="B115" s="210"/>
      <c r="C115" s="205"/>
      <c r="D115" s="205"/>
      <c r="E115" s="78"/>
      <c r="F115" s="78"/>
      <c r="G115" s="76"/>
      <c r="H115" s="85"/>
      <c r="I115" s="187">
        <v>89</v>
      </c>
    </row>
    <row r="116" spans="1:9" x14ac:dyDescent="0.25">
      <c r="A116">
        <v>90</v>
      </c>
      <c r="B116" s="210"/>
      <c r="C116" s="205"/>
      <c r="D116" s="205"/>
      <c r="E116" s="78"/>
      <c r="F116" s="78"/>
      <c r="G116" s="76"/>
      <c r="H116" s="85"/>
      <c r="I116" s="187">
        <v>90</v>
      </c>
    </row>
    <row r="117" spans="1:9" x14ac:dyDescent="0.25">
      <c r="A117">
        <v>91</v>
      </c>
      <c r="B117" s="210"/>
      <c r="C117" s="205"/>
      <c r="D117" s="205"/>
      <c r="E117" s="78"/>
      <c r="F117" s="78"/>
      <c r="G117" s="76"/>
      <c r="H117" s="85"/>
      <c r="I117" s="187">
        <v>91</v>
      </c>
    </row>
    <row r="118" spans="1:9" x14ac:dyDescent="0.25">
      <c r="A118">
        <v>92</v>
      </c>
      <c r="B118" s="210"/>
      <c r="C118" s="205"/>
      <c r="D118" s="205"/>
      <c r="E118" s="78"/>
      <c r="F118" s="78"/>
      <c r="G118" s="76"/>
      <c r="H118" s="85"/>
      <c r="I118" s="187">
        <v>92</v>
      </c>
    </row>
    <row r="119" spans="1:9" x14ac:dyDescent="0.25">
      <c r="A119">
        <v>93</v>
      </c>
      <c r="B119" s="210"/>
      <c r="C119" s="205"/>
      <c r="D119" s="205"/>
      <c r="E119" s="78"/>
      <c r="F119" s="78"/>
      <c r="G119" s="76"/>
      <c r="H119" s="85"/>
      <c r="I119" s="187">
        <v>93</v>
      </c>
    </row>
    <row r="120" spans="1:9" x14ac:dyDescent="0.25">
      <c r="A120">
        <v>94</v>
      </c>
      <c r="B120" s="210"/>
      <c r="C120" s="205"/>
      <c r="D120" s="205"/>
      <c r="E120" s="78"/>
      <c r="F120" s="78"/>
      <c r="G120" s="76"/>
      <c r="H120" s="85"/>
      <c r="I120" s="187">
        <v>94</v>
      </c>
    </row>
    <row r="121" spans="1:9" x14ac:dyDescent="0.25">
      <c r="A121">
        <v>95</v>
      </c>
      <c r="B121" s="210"/>
      <c r="C121" s="205"/>
      <c r="D121" s="205"/>
      <c r="E121" s="78"/>
      <c r="F121" s="78"/>
      <c r="G121" s="76"/>
      <c r="H121" s="85"/>
      <c r="I121" s="187">
        <v>95</v>
      </c>
    </row>
    <row r="122" spans="1:9" x14ac:dyDescent="0.25">
      <c r="A122">
        <v>96</v>
      </c>
      <c r="B122" s="210"/>
      <c r="C122" s="205"/>
      <c r="D122" s="205"/>
      <c r="E122" s="78"/>
      <c r="F122" s="78"/>
      <c r="G122" s="76"/>
      <c r="H122" s="85"/>
      <c r="I122" s="187">
        <v>96</v>
      </c>
    </row>
    <row r="123" spans="1:9" x14ac:dyDescent="0.25">
      <c r="A123">
        <v>97</v>
      </c>
      <c r="B123" s="210"/>
      <c r="C123" s="205"/>
      <c r="D123" s="205"/>
      <c r="E123" s="78"/>
      <c r="F123" s="78"/>
      <c r="G123" s="76"/>
      <c r="H123" s="85"/>
      <c r="I123" s="187">
        <v>97</v>
      </c>
    </row>
    <row r="124" spans="1:9" x14ac:dyDescent="0.25">
      <c r="A124">
        <v>98</v>
      </c>
      <c r="B124" s="210"/>
      <c r="C124" s="205"/>
      <c r="D124" s="205"/>
      <c r="E124" s="78"/>
      <c r="F124" s="78"/>
      <c r="G124" s="76"/>
      <c r="H124" s="85"/>
      <c r="I124" s="187">
        <v>98</v>
      </c>
    </row>
    <row r="125" spans="1:9" x14ac:dyDescent="0.25">
      <c r="A125">
        <v>99</v>
      </c>
      <c r="B125" s="75"/>
      <c r="C125" s="207"/>
      <c r="D125" s="207"/>
      <c r="E125" s="78"/>
      <c r="F125" s="78"/>
      <c r="G125" s="76"/>
      <c r="H125" s="85"/>
      <c r="I125" s="187">
        <v>99</v>
      </c>
    </row>
    <row r="126" spans="1:9" x14ac:dyDescent="0.25">
      <c r="A126">
        <v>100</v>
      </c>
      <c r="B126" s="75"/>
      <c r="C126" s="207"/>
      <c r="D126" s="207"/>
      <c r="E126" s="78"/>
      <c r="F126" s="78"/>
      <c r="G126" s="76"/>
      <c r="H126" s="85"/>
      <c r="I126" s="187">
        <v>100</v>
      </c>
    </row>
    <row r="127" spans="1:9" x14ac:dyDescent="0.25">
      <c r="A127">
        <v>101</v>
      </c>
      <c r="B127" s="75"/>
      <c r="C127" s="207"/>
      <c r="D127" s="207"/>
      <c r="E127" s="78"/>
      <c r="F127" s="78"/>
      <c r="G127" s="76"/>
      <c r="H127" s="84"/>
      <c r="I127" s="187">
        <v>101</v>
      </c>
    </row>
    <row r="128" spans="1:9" x14ac:dyDescent="0.25">
      <c r="A128">
        <v>102</v>
      </c>
      <c r="B128" s="75"/>
      <c r="C128" s="207"/>
      <c r="D128" s="207"/>
      <c r="E128" s="78"/>
      <c r="F128" s="78"/>
      <c r="G128" s="76"/>
      <c r="H128" s="85"/>
      <c r="I128" s="187">
        <v>102</v>
      </c>
    </row>
    <row r="129" spans="1:9" x14ac:dyDescent="0.25">
      <c r="A129">
        <v>103</v>
      </c>
      <c r="B129" s="75"/>
      <c r="C129" s="207"/>
      <c r="D129" s="207"/>
      <c r="E129" s="78"/>
      <c r="F129" s="78"/>
      <c r="G129" s="76"/>
      <c r="H129" s="85"/>
      <c r="I129" s="187">
        <v>103</v>
      </c>
    </row>
    <row r="130" spans="1:9" x14ac:dyDescent="0.25">
      <c r="A130">
        <v>104</v>
      </c>
      <c r="B130" s="75"/>
      <c r="C130" s="207"/>
      <c r="D130" s="207"/>
      <c r="E130" s="78"/>
      <c r="F130" s="78"/>
      <c r="G130" s="76"/>
      <c r="H130" s="84"/>
      <c r="I130" s="187">
        <v>104</v>
      </c>
    </row>
    <row r="131" spans="1:9" x14ac:dyDescent="0.25">
      <c r="A131">
        <v>105</v>
      </c>
      <c r="B131" s="75"/>
      <c r="C131" s="207"/>
      <c r="D131" s="207"/>
      <c r="E131" s="78"/>
      <c r="F131" s="78"/>
      <c r="G131" s="76"/>
      <c r="H131" s="84"/>
      <c r="I131" s="187">
        <v>105</v>
      </c>
    </row>
    <row r="132" spans="1:9" x14ac:dyDescent="0.25">
      <c r="A132">
        <v>106</v>
      </c>
      <c r="B132" s="75"/>
      <c r="C132" s="207"/>
      <c r="D132" s="207"/>
      <c r="E132" s="78"/>
      <c r="F132" s="78"/>
      <c r="G132" s="76"/>
      <c r="H132" s="84"/>
      <c r="I132" s="187">
        <v>106</v>
      </c>
    </row>
    <row r="133" spans="1:9" x14ac:dyDescent="0.25">
      <c r="A133">
        <v>107</v>
      </c>
      <c r="B133" s="75"/>
      <c r="C133" s="207"/>
      <c r="D133" s="207"/>
      <c r="E133" s="78"/>
      <c r="F133" s="78"/>
      <c r="G133" s="76"/>
      <c r="H133" s="84"/>
      <c r="I133" s="187">
        <v>107</v>
      </c>
    </row>
    <row r="134" spans="1:9" x14ac:dyDescent="0.25">
      <c r="A134">
        <v>108</v>
      </c>
      <c r="B134" s="75"/>
      <c r="C134" s="207"/>
      <c r="D134" s="207"/>
      <c r="E134" s="78"/>
      <c r="F134" s="78"/>
      <c r="G134" s="76"/>
      <c r="H134" s="84"/>
      <c r="I134" s="187">
        <v>108</v>
      </c>
    </row>
    <row r="135" spans="1:9" x14ac:dyDescent="0.25">
      <c r="A135">
        <v>109</v>
      </c>
      <c r="B135" s="75"/>
      <c r="C135" s="207"/>
      <c r="D135" s="207"/>
      <c r="E135" s="78"/>
      <c r="F135" s="78"/>
      <c r="G135" s="76"/>
      <c r="H135" s="84"/>
      <c r="I135" s="187">
        <v>109</v>
      </c>
    </row>
    <row r="136" spans="1:9" x14ac:dyDescent="0.25">
      <c r="A136">
        <v>110</v>
      </c>
      <c r="B136" s="75"/>
      <c r="C136" s="207"/>
      <c r="D136" s="207"/>
      <c r="E136" s="78"/>
      <c r="F136" s="78"/>
      <c r="G136" s="76"/>
      <c r="H136" s="84"/>
      <c r="I136" s="187">
        <v>110</v>
      </c>
    </row>
    <row r="137" spans="1:9" x14ac:dyDescent="0.25">
      <c r="A137">
        <v>111</v>
      </c>
      <c r="B137" s="75"/>
      <c r="C137" s="207"/>
      <c r="D137" s="207"/>
      <c r="E137" s="78"/>
      <c r="F137" s="78"/>
      <c r="G137" s="76"/>
      <c r="H137" s="84"/>
      <c r="I137" s="187">
        <v>111</v>
      </c>
    </row>
    <row r="138" spans="1:9" x14ac:dyDescent="0.25">
      <c r="A138">
        <v>112</v>
      </c>
      <c r="B138" s="75"/>
      <c r="C138" s="207"/>
      <c r="D138" s="207"/>
      <c r="E138" s="78"/>
      <c r="F138" s="78"/>
      <c r="G138" s="76"/>
      <c r="H138" s="84"/>
      <c r="I138" s="187">
        <v>112</v>
      </c>
    </row>
    <row r="139" spans="1:9" x14ac:dyDescent="0.25">
      <c r="A139">
        <v>113</v>
      </c>
      <c r="B139" s="75"/>
      <c r="C139" s="207"/>
      <c r="D139" s="207"/>
      <c r="E139" s="78"/>
      <c r="F139" s="78"/>
      <c r="G139" s="76"/>
      <c r="H139" s="85"/>
      <c r="I139" s="187">
        <v>113</v>
      </c>
    </row>
    <row r="140" spans="1:9" x14ac:dyDescent="0.25">
      <c r="A140">
        <v>114</v>
      </c>
      <c r="B140" s="75"/>
      <c r="C140" s="207"/>
      <c r="D140" s="207"/>
      <c r="E140" s="78"/>
      <c r="F140" s="78"/>
      <c r="G140" s="76"/>
      <c r="H140" s="85"/>
      <c r="I140" s="187">
        <v>114</v>
      </c>
    </row>
    <row r="141" spans="1:9" x14ac:dyDescent="0.25">
      <c r="A141">
        <v>115</v>
      </c>
      <c r="B141" s="75"/>
      <c r="C141" s="207"/>
      <c r="D141" s="207"/>
      <c r="E141" s="78"/>
      <c r="F141" s="78"/>
      <c r="G141" s="76"/>
      <c r="H141" s="85"/>
      <c r="I141" s="187">
        <v>115</v>
      </c>
    </row>
    <row r="142" spans="1:9" x14ac:dyDescent="0.25">
      <c r="A142">
        <v>116</v>
      </c>
      <c r="B142" s="75"/>
      <c r="C142" s="207"/>
      <c r="D142" s="207"/>
      <c r="E142" s="78"/>
      <c r="F142" s="78"/>
      <c r="G142" s="76"/>
      <c r="H142" s="85"/>
      <c r="I142" s="187">
        <v>116</v>
      </c>
    </row>
    <row r="143" spans="1:9" x14ac:dyDescent="0.25">
      <c r="A143">
        <v>117</v>
      </c>
      <c r="B143" s="75"/>
      <c r="C143" s="207"/>
      <c r="D143" s="207"/>
      <c r="E143" s="78"/>
      <c r="F143" s="78"/>
      <c r="G143" s="76"/>
      <c r="H143" s="85"/>
      <c r="I143" s="187">
        <v>117</v>
      </c>
    </row>
    <row r="144" spans="1:9" x14ac:dyDescent="0.25">
      <c r="A144">
        <v>118</v>
      </c>
      <c r="B144" s="75"/>
      <c r="C144" s="207"/>
      <c r="D144" s="207"/>
      <c r="E144" s="78"/>
      <c r="F144" s="78"/>
      <c r="G144" s="76"/>
      <c r="H144" s="85"/>
      <c r="I144" s="187">
        <v>118</v>
      </c>
    </row>
    <row r="145" spans="1:9" x14ac:dyDescent="0.25">
      <c r="A145">
        <v>119</v>
      </c>
      <c r="B145" s="75"/>
      <c r="C145" s="207"/>
      <c r="D145" s="207"/>
      <c r="E145" s="78"/>
      <c r="F145" s="78"/>
      <c r="G145" s="76"/>
      <c r="H145" s="85"/>
      <c r="I145" s="187">
        <v>119</v>
      </c>
    </row>
    <row r="146" spans="1:9" x14ac:dyDescent="0.25">
      <c r="A146">
        <v>120</v>
      </c>
      <c r="B146" s="75"/>
      <c r="C146" s="207"/>
      <c r="D146" s="207"/>
      <c r="E146" s="78"/>
      <c r="F146" s="78"/>
      <c r="G146" s="76"/>
      <c r="H146" s="85"/>
      <c r="I146" s="187">
        <v>120</v>
      </c>
    </row>
    <row r="147" spans="1:9" x14ac:dyDescent="0.25">
      <c r="A147">
        <v>121</v>
      </c>
      <c r="B147" s="75"/>
      <c r="C147" s="207"/>
      <c r="D147" s="207"/>
      <c r="E147" s="78"/>
      <c r="F147" s="78"/>
      <c r="G147" s="76"/>
      <c r="H147" s="85"/>
      <c r="I147" s="187">
        <v>121</v>
      </c>
    </row>
    <row r="148" spans="1:9" x14ac:dyDescent="0.25">
      <c r="A148">
        <v>122</v>
      </c>
      <c r="B148" s="75"/>
      <c r="C148" s="207"/>
      <c r="D148" s="207"/>
      <c r="E148" s="78"/>
      <c r="F148" s="78"/>
      <c r="G148" s="76"/>
      <c r="H148" s="85"/>
      <c r="I148" s="187">
        <v>122</v>
      </c>
    </row>
    <row r="149" spans="1:9" x14ac:dyDescent="0.25">
      <c r="A149">
        <v>123</v>
      </c>
      <c r="B149" s="75"/>
      <c r="C149" s="207"/>
      <c r="D149" s="207"/>
      <c r="E149" s="78"/>
      <c r="F149" s="78"/>
      <c r="G149" s="76"/>
      <c r="H149" s="85"/>
      <c r="I149" s="187">
        <v>123</v>
      </c>
    </row>
    <row r="150" spans="1:9" x14ac:dyDescent="0.25">
      <c r="A150">
        <v>124</v>
      </c>
      <c r="B150" s="75"/>
      <c r="C150" s="207"/>
      <c r="D150" s="207"/>
      <c r="E150" s="78"/>
      <c r="F150" s="78"/>
      <c r="G150" s="76"/>
      <c r="H150" s="85"/>
      <c r="I150" s="187">
        <v>124</v>
      </c>
    </row>
    <row r="151" spans="1:9" x14ac:dyDescent="0.25">
      <c r="A151">
        <v>125</v>
      </c>
      <c r="B151" s="75"/>
      <c r="C151" s="207"/>
      <c r="D151" s="207"/>
      <c r="E151" s="78"/>
      <c r="F151" s="78"/>
      <c r="G151" s="76"/>
      <c r="H151" s="85"/>
      <c r="I151" s="187">
        <v>125</v>
      </c>
    </row>
    <row r="152" spans="1:9" x14ac:dyDescent="0.25">
      <c r="A152">
        <v>126</v>
      </c>
      <c r="B152" s="75"/>
      <c r="C152" s="207"/>
      <c r="D152" s="207"/>
      <c r="E152" s="78"/>
      <c r="F152" s="78"/>
      <c r="G152" s="76"/>
      <c r="H152" s="85"/>
      <c r="I152" s="187">
        <v>126</v>
      </c>
    </row>
    <row r="153" spans="1:9" x14ac:dyDescent="0.25">
      <c r="A153">
        <v>127</v>
      </c>
      <c r="B153" s="75"/>
      <c r="C153" s="207"/>
      <c r="D153" s="207"/>
      <c r="E153" s="78"/>
      <c r="F153" s="78"/>
      <c r="G153" s="76"/>
      <c r="H153" s="85"/>
      <c r="I153" s="187">
        <v>127</v>
      </c>
    </row>
    <row r="154" spans="1:9" x14ac:dyDescent="0.25">
      <c r="A154">
        <v>128</v>
      </c>
      <c r="B154" s="75"/>
      <c r="C154" s="207"/>
      <c r="D154" s="207"/>
      <c r="E154" s="78"/>
      <c r="F154" s="78"/>
      <c r="G154" s="76"/>
      <c r="H154" s="85"/>
      <c r="I154" s="187">
        <v>128</v>
      </c>
    </row>
    <row r="155" spans="1:9" x14ac:dyDescent="0.25">
      <c r="A155">
        <v>129</v>
      </c>
      <c r="B155" s="75"/>
      <c r="C155" s="207"/>
      <c r="D155" s="207"/>
      <c r="E155" s="78"/>
      <c r="F155" s="78"/>
      <c r="G155" s="76"/>
      <c r="H155" s="85"/>
      <c r="I155" s="187">
        <v>129</v>
      </c>
    </row>
    <row r="156" spans="1:9" x14ac:dyDescent="0.25">
      <c r="A156">
        <v>130</v>
      </c>
      <c r="B156" s="75"/>
      <c r="C156" s="207"/>
      <c r="D156" s="207"/>
      <c r="E156" s="78"/>
      <c r="F156" s="78"/>
      <c r="G156" s="76"/>
      <c r="H156" s="85"/>
      <c r="I156" s="187">
        <v>130</v>
      </c>
    </row>
    <row r="157" spans="1:9" x14ac:dyDescent="0.25">
      <c r="A157">
        <v>131</v>
      </c>
      <c r="B157" s="75"/>
      <c r="C157" s="207"/>
      <c r="D157" s="207"/>
      <c r="E157" s="78"/>
      <c r="F157" s="78"/>
      <c r="G157" s="76"/>
      <c r="H157" s="85"/>
      <c r="I157" s="187">
        <v>131</v>
      </c>
    </row>
    <row r="158" spans="1:9" x14ac:dyDescent="0.25">
      <c r="A158">
        <v>132</v>
      </c>
      <c r="B158" s="75"/>
      <c r="C158" s="207"/>
      <c r="D158" s="207"/>
      <c r="E158" s="78"/>
      <c r="F158" s="78"/>
      <c r="G158" s="76"/>
      <c r="H158" s="85"/>
      <c r="I158" s="187">
        <v>132</v>
      </c>
    </row>
    <row r="159" spans="1:9" x14ac:dyDescent="0.25">
      <c r="A159">
        <v>133</v>
      </c>
      <c r="B159" s="75"/>
      <c r="C159" s="207"/>
      <c r="D159" s="207"/>
      <c r="E159" s="78"/>
      <c r="F159" s="78"/>
      <c r="G159" s="76"/>
      <c r="H159" s="85"/>
      <c r="I159" s="187">
        <v>133</v>
      </c>
    </row>
    <row r="160" spans="1:9" x14ac:dyDescent="0.25">
      <c r="A160">
        <v>134</v>
      </c>
      <c r="B160" s="75"/>
      <c r="C160" s="207"/>
      <c r="D160" s="207"/>
      <c r="E160" s="78"/>
      <c r="F160" s="78"/>
      <c r="G160" s="76"/>
      <c r="H160" s="85"/>
      <c r="I160" s="187">
        <v>134</v>
      </c>
    </row>
    <row r="161" spans="1:9" x14ac:dyDescent="0.25">
      <c r="A161">
        <v>135</v>
      </c>
      <c r="B161" s="75"/>
      <c r="C161" s="207"/>
      <c r="D161" s="207"/>
      <c r="E161" s="78"/>
      <c r="F161" s="78"/>
      <c r="G161" s="76"/>
      <c r="H161" s="85"/>
      <c r="I161" s="187">
        <v>135</v>
      </c>
    </row>
    <row r="162" spans="1:9" x14ac:dyDescent="0.25">
      <c r="A162">
        <v>136</v>
      </c>
      <c r="B162" s="75"/>
      <c r="C162" s="207"/>
      <c r="D162" s="207"/>
      <c r="E162" s="78"/>
      <c r="F162" s="78"/>
      <c r="G162" s="76"/>
      <c r="H162" s="85"/>
      <c r="I162" s="187">
        <v>136</v>
      </c>
    </row>
    <row r="163" spans="1:9" x14ac:dyDescent="0.25">
      <c r="A163">
        <v>137</v>
      </c>
      <c r="B163" s="75"/>
      <c r="C163" s="207"/>
      <c r="D163" s="207"/>
      <c r="E163" s="78"/>
      <c r="F163" s="78"/>
      <c r="G163" s="76"/>
      <c r="H163" s="85"/>
      <c r="I163" s="187">
        <v>137</v>
      </c>
    </row>
    <row r="164" spans="1:9" x14ac:dyDescent="0.25">
      <c r="A164">
        <v>138</v>
      </c>
      <c r="B164" s="75"/>
      <c r="C164" s="207"/>
      <c r="D164" s="207"/>
      <c r="E164" s="78"/>
      <c r="F164" s="78"/>
      <c r="G164" s="76"/>
      <c r="H164" s="85"/>
      <c r="I164" s="187">
        <v>138</v>
      </c>
    </row>
    <row r="165" spans="1:9" x14ac:dyDescent="0.25">
      <c r="A165">
        <v>139</v>
      </c>
      <c r="B165" s="75"/>
      <c r="C165" s="207"/>
      <c r="D165" s="207"/>
      <c r="E165" s="78"/>
      <c r="F165" s="78"/>
      <c r="G165" s="76"/>
      <c r="H165" s="85"/>
      <c r="I165" s="187">
        <v>139</v>
      </c>
    </row>
    <row r="166" spans="1:9" x14ac:dyDescent="0.25">
      <c r="A166">
        <v>140</v>
      </c>
      <c r="B166" s="75"/>
      <c r="C166" s="207"/>
      <c r="D166" s="207"/>
      <c r="E166" s="78"/>
      <c r="F166" s="78"/>
      <c r="G166" s="76"/>
      <c r="H166" s="85"/>
      <c r="I166" s="187">
        <v>140</v>
      </c>
    </row>
    <row r="167" spans="1:9" x14ac:dyDescent="0.25">
      <c r="A167">
        <v>141</v>
      </c>
      <c r="B167" s="75"/>
      <c r="C167" s="207"/>
      <c r="D167" s="207"/>
      <c r="E167" s="78"/>
      <c r="F167" s="78"/>
      <c r="G167" s="76"/>
      <c r="H167" s="85"/>
      <c r="I167" s="187">
        <v>141</v>
      </c>
    </row>
    <row r="168" spans="1:9" x14ac:dyDescent="0.25">
      <c r="A168">
        <v>142</v>
      </c>
      <c r="B168" s="75"/>
      <c r="C168" s="207"/>
      <c r="D168" s="207"/>
      <c r="E168" s="78"/>
      <c r="F168" s="78"/>
      <c r="G168" s="76"/>
      <c r="H168" s="85"/>
      <c r="I168" s="187">
        <v>142</v>
      </c>
    </row>
    <row r="169" spans="1:9" x14ac:dyDescent="0.25">
      <c r="A169">
        <v>143</v>
      </c>
      <c r="B169" s="75"/>
      <c r="C169" s="207"/>
      <c r="D169" s="207"/>
      <c r="E169" s="78"/>
      <c r="F169" s="78"/>
      <c r="G169" s="76"/>
      <c r="H169" s="85"/>
      <c r="I169" s="187">
        <v>143</v>
      </c>
    </row>
    <row r="170" spans="1:9" x14ac:dyDescent="0.25">
      <c r="A170">
        <v>144</v>
      </c>
      <c r="B170" s="75"/>
      <c r="C170" s="207"/>
      <c r="D170" s="207"/>
      <c r="E170" s="78"/>
      <c r="F170" s="78"/>
      <c r="G170" s="76"/>
      <c r="H170" s="85"/>
      <c r="I170" s="187">
        <v>144</v>
      </c>
    </row>
    <row r="171" spans="1:9" x14ac:dyDescent="0.25">
      <c r="A171">
        <v>145</v>
      </c>
      <c r="B171" s="75"/>
      <c r="C171" s="207"/>
      <c r="D171" s="207"/>
      <c r="E171" s="78"/>
      <c r="F171" s="78"/>
      <c r="G171" s="76"/>
      <c r="H171" s="85"/>
      <c r="I171" s="187">
        <v>145</v>
      </c>
    </row>
    <row r="172" spans="1:9" x14ac:dyDescent="0.25">
      <c r="A172">
        <v>146</v>
      </c>
      <c r="B172" s="75"/>
      <c r="C172" s="207"/>
      <c r="D172" s="207"/>
      <c r="E172" s="78"/>
      <c r="F172" s="78"/>
      <c r="G172" s="76"/>
      <c r="H172" s="85"/>
      <c r="I172" s="187">
        <v>146</v>
      </c>
    </row>
    <row r="173" spans="1:9" x14ac:dyDescent="0.25">
      <c r="A173">
        <v>147</v>
      </c>
      <c r="B173" s="75"/>
      <c r="C173" s="207"/>
      <c r="D173" s="207"/>
      <c r="E173" s="78"/>
      <c r="F173" s="78"/>
      <c r="G173" s="76"/>
      <c r="H173" s="85"/>
      <c r="I173" s="187">
        <v>147</v>
      </c>
    </row>
    <row r="174" spans="1:9" x14ac:dyDescent="0.25">
      <c r="A174">
        <v>148</v>
      </c>
      <c r="B174" s="75"/>
      <c r="C174" s="207"/>
      <c r="D174" s="207"/>
      <c r="E174" s="78"/>
      <c r="F174" s="78"/>
      <c r="G174" s="76"/>
      <c r="H174" s="85"/>
      <c r="I174" s="187">
        <v>148</v>
      </c>
    </row>
    <row r="175" spans="1:9" x14ac:dyDescent="0.25">
      <c r="A175">
        <v>149</v>
      </c>
      <c r="B175" s="75"/>
      <c r="C175" s="207"/>
      <c r="D175" s="207"/>
      <c r="E175" s="78"/>
      <c r="F175" s="78"/>
      <c r="G175" s="76"/>
      <c r="H175" s="85"/>
      <c r="I175" s="187">
        <v>149</v>
      </c>
    </row>
    <row r="176" spans="1:9" x14ac:dyDescent="0.25">
      <c r="A176">
        <v>150</v>
      </c>
      <c r="B176" s="75"/>
      <c r="C176" s="207"/>
      <c r="D176" s="207"/>
      <c r="E176" s="78"/>
      <c r="F176" s="78"/>
      <c r="G176" s="76"/>
      <c r="H176" s="85"/>
      <c r="I176" s="187">
        <v>150</v>
      </c>
    </row>
    <row r="177" spans="1:9" x14ac:dyDescent="0.25">
      <c r="A177">
        <v>151</v>
      </c>
      <c r="B177" s="75"/>
      <c r="C177" s="207"/>
      <c r="D177" s="207"/>
      <c r="E177" s="78"/>
      <c r="F177" s="78"/>
      <c r="G177" s="76"/>
      <c r="H177" s="85"/>
      <c r="I177" s="187">
        <v>151</v>
      </c>
    </row>
    <row r="178" spans="1:9" x14ac:dyDescent="0.25">
      <c r="A178">
        <v>152</v>
      </c>
      <c r="B178" s="75"/>
      <c r="C178" s="207"/>
      <c r="D178" s="207"/>
      <c r="E178" s="78"/>
      <c r="F178" s="78"/>
      <c r="G178" s="76"/>
      <c r="H178" s="85"/>
      <c r="I178" s="187">
        <v>152</v>
      </c>
    </row>
    <row r="179" spans="1:9" x14ac:dyDescent="0.25">
      <c r="A179">
        <v>153</v>
      </c>
      <c r="B179" s="75"/>
      <c r="C179" s="207"/>
      <c r="D179" s="207"/>
      <c r="E179" s="78"/>
      <c r="F179" s="78"/>
      <c r="G179" s="76"/>
      <c r="H179" s="84"/>
      <c r="I179" s="187">
        <v>153</v>
      </c>
    </row>
    <row r="180" spans="1:9" x14ac:dyDescent="0.25">
      <c r="A180">
        <v>154</v>
      </c>
      <c r="B180" s="75"/>
      <c r="C180" s="207"/>
      <c r="D180" s="207"/>
      <c r="E180" s="78"/>
      <c r="F180" s="78"/>
      <c r="G180" s="76"/>
      <c r="H180" s="85"/>
      <c r="I180" s="187">
        <v>154</v>
      </c>
    </row>
    <row r="181" spans="1:9" x14ac:dyDescent="0.25">
      <c r="A181">
        <v>155</v>
      </c>
      <c r="B181" s="75"/>
      <c r="C181" s="207"/>
      <c r="D181" s="207"/>
      <c r="E181" s="78"/>
      <c r="F181" s="78"/>
      <c r="G181" s="76"/>
      <c r="H181" s="84"/>
      <c r="I181" s="187">
        <v>155</v>
      </c>
    </row>
    <row r="182" spans="1:9" x14ac:dyDescent="0.25">
      <c r="A182">
        <v>156</v>
      </c>
      <c r="B182" s="75"/>
      <c r="C182" s="207"/>
      <c r="D182" s="207"/>
      <c r="E182" s="78"/>
      <c r="F182" s="78"/>
      <c r="G182" s="76"/>
      <c r="H182" s="84"/>
      <c r="I182" s="187">
        <v>156</v>
      </c>
    </row>
    <row r="183" spans="1:9" x14ac:dyDescent="0.25">
      <c r="A183">
        <v>157</v>
      </c>
      <c r="B183" s="75"/>
      <c r="C183" s="207"/>
      <c r="D183" s="207"/>
      <c r="E183" s="78"/>
      <c r="F183" s="78"/>
      <c r="G183" s="76"/>
      <c r="H183" s="84"/>
      <c r="I183" s="187">
        <v>157</v>
      </c>
    </row>
    <row r="184" spans="1:9" x14ac:dyDescent="0.25">
      <c r="A184">
        <v>158</v>
      </c>
      <c r="B184" s="75"/>
      <c r="C184" s="207"/>
      <c r="D184" s="207"/>
      <c r="E184" s="78"/>
      <c r="F184" s="78"/>
      <c r="G184" s="76"/>
      <c r="H184" s="84"/>
      <c r="I184" s="187">
        <v>158</v>
      </c>
    </row>
    <row r="185" spans="1:9" x14ac:dyDescent="0.25">
      <c r="A185">
        <v>159</v>
      </c>
      <c r="B185" s="75"/>
      <c r="C185" s="207"/>
      <c r="D185" s="207"/>
      <c r="E185" s="78"/>
      <c r="F185" s="78"/>
      <c r="G185" s="76"/>
      <c r="H185" s="84"/>
      <c r="I185" s="187">
        <v>159</v>
      </c>
    </row>
    <row r="186" spans="1:9" x14ac:dyDescent="0.25">
      <c r="A186">
        <v>160</v>
      </c>
      <c r="B186" s="75"/>
      <c r="C186" s="207"/>
      <c r="D186" s="207"/>
      <c r="E186" s="78"/>
      <c r="F186" s="78"/>
      <c r="G186" s="76"/>
      <c r="H186" s="84"/>
      <c r="I186" s="187">
        <v>160</v>
      </c>
    </row>
    <row r="187" spans="1:9" x14ac:dyDescent="0.25">
      <c r="A187">
        <v>161</v>
      </c>
      <c r="B187" s="75"/>
      <c r="C187" s="207"/>
      <c r="D187" s="207"/>
      <c r="E187" s="78"/>
      <c r="F187" s="78"/>
      <c r="G187" s="76"/>
      <c r="H187" s="84"/>
      <c r="I187" s="187">
        <v>161</v>
      </c>
    </row>
    <row r="188" spans="1:9" x14ac:dyDescent="0.25">
      <c r="A188">
        <v>162</v>
      </c>
      <c r="B188" s="75"/>
      <c r="C188" s="207"/>
      <c r="D188" s="207"/>
      <c r="E188" s="78"/>
      <c r="F188" s="78"/>
      <c r="G188" s="76"/>
      <c r="H188" s="85"/>
      <c r="I188" s="187">
        <v>162</v>
      </c>
    </row>
    <row r="189" spans="1:9" x14ac:dyDescent="0.25">
      <c r="A189">
        <v>163</v>
      </c>
      <c r="B189" s="75"/>
      <c r="C189" s="207"/>
      <c r="D189" s="207"/>
      <c r="E189" s="78"/>
      <c r="F189" s="78"/>
      <c r="G189" s="76"/>
      <c r="H189" s="85"/>
      <c r="I189" s="187">
        <v>163</v>
      </c>
    </row>
    <row r="190" spans="1:9" x14ac:dyDescent="0.25">
      <c r="A190">
        <v>164</v>
      </c>
      <c r="B190" s="75"/>
      <c r="C190" s="207"/>
      <c r="D190" s="207"/>
      <c r="E190" s="78"/>
      <c r="F190" s="78"/>
      <c r="G190" s="76"/>
      <c r="H190" s="84"/>
      <c r="I190" s="187">
        <v>164</v>
      </c>
    </row>
    <row r="191" spans="1:9" x14ac:dyDescent="0.25">
      <c r="A191">
        <v>165</v>
      </c>
      <c r="B191" s="75"/>
      <c r="C191" s="207"/>
      <c r="D191" s="207"/>
      <c r="E191" s="78"/>
      <c r="F191" s="78"/>
      <c r="G191" s="76"/>
      <c r="H191" s="84"/>
      <c r="I191" s="187">
        <v>165</v>
      </c>
    </row>
    <row r="192" spans="1:9" x14ac:dyDescent="0.25">
      <c r="A192">
        <v>166</v>
      </c>
      <c r="B192" s="75"/>
      <c r="C192" s="207"/>
      <c r="D192" s="207"/>
      <c r="E192" s="78"/>
      <c r="F192" s="78"/>
      <c r="G192" s="76"/>
      <c r="H192" s="84"/>
      <c r="I192" s="187">
        <v>166</v>
      </c>
    </row>
    <row r="193" spans="1:9" x14ac:dyDescent="0.25">
      <c r="A193">
        <v>167</v>
      </c>
      <c r="B193" s="75"/>
      <c r="C193" s="207"/>
      <c r="D193" s="207"/>
      <c r="E193" s="78"/>
      <c r="F193" s="78"/>
      <c r="G193" s="76"/>
      <c r="H193" s="84"/>
      <c r="I193" s="187">
        <v>167</v>
      </c>
    </row>
    <row r="194" spans="1:9" x14ac:dyDescent="0.25">
      <c r="A194">
        <v>168</v>
      </c>
      <c r="B194" s="75"/>
      <c r="C194" s="207"/>
      <c r="D194" s="207"/>
      <c r="E194" s="78"/>
      <c r="F194" s="78"/>
      <c r="G194" s="76"/>
      <c r="H194" s="84"/>
      <c r="I194" s="187">
        <v>168</v>
      </c>
    </row>
    <row r="195" spans="1:9" x14ac:dyDescent="0.25">
      <c r="A195">
        <v>169</v>
      </c>
      <c r="B195" s="75"/>
      <c r="C195" s="207"/>
      <c r="D195" s="207"/>
      <c r="E195" s="78"/>
      <c r="F195" s="78"/>
      <c r="G195" s="76"/>
      <c r="H195" s="84"/>
      <c r="I195" s="187">
        <v>169</v>
      </c>
    </row>
    <row r="196" spans="1:9" x14ac:dyDescent="0.25">
      <c r="A196">
        <v>170</v>
      </c>
      <c r="B196" s="75"/>
      <c r="C196" s="207"/>
      <c r="D196" s="207"/>
      <c r="E196" s="78"/>
      <c r="F196" s="78"/>
      <c r="G196" s="76"/>
      <c r="H196" s="84"/>
      <c r="I196" s="187">
        <v>170</v>
      </c>
    </row>
    <row r="197" spans="1:9" x14ac:dyDescent="0.25">
      <c r="A197">
        <v>171</v>
      </c>
      <c r="B197" s="75"/>
      <c r="C197" s="207"/>
      <c r="D197" s="207"/>
      <c r="E197" s="78"/>
      <c r="F197" s="78"/>
      <c r="G197" s="76"/>
      <c r="H197" s="84"/>
      <c r="I197" s="187">
        <v>171</v>
      </c>
    </row>
    <row r="198" spans="1:9" x14ac:dyDescent="0.25">
      <c r="A198">
        <v>172</v>
      </c>
      <c r="B198" s="75"/>
      <c r="C198" s="207"/>
      <c r="D198" s="207"/>
      <c r="E198" s="78"/>
      <c r="F198" s="78"/>
      <c r="G198" s="76"/>
      <c r="H198" s="84"/>
      <c r="I198" s="187">
        <v>172</v>
      </c>
    </row>
    <row r="199" spans="1:9" x14ac:dyDescent="0.25">
      <c r="A199">
        <v>173</v>
      </c>
      <c r="B199" s="75"/>
      <c r="C199" s="207"/>
      <c r="D199" s="207"/>
      <c r="E199" s="78"/>
      <c r="F199" s="78"/>
      <c r="G199" s="76"/>
      <c r="H199" s="84"/>
      <c r="I199" s="187">
        <v>173</v>
      </c>
    </row>
    <row r="200" spans="1:9" x14ac:dyDescent="0.25">
      <c r="A200">
        <v>174</v>
      </c>
      <c r="B200" s="75"/>
      <c r="C200" s="207"/>
      <c r="D200" s="207"/>
      <c r="E200" s="78"/>
      <c r="F200" s="78"/>
      <c r="G200" s="76"/>
      <c r="H200" s="75"/>
      <c r="I200" s="187">
        <v>174</v>
      </c>
    </row>
    <row r="201" spans="1:9" x14ac:dyDescent="0.25">
      <c r="A201">
        <v>175</v>
      </c>
      <c r="B201" s="75"/>
      <c r="C201" s="207"/>
      <c r="D201" s="207"/>
      <c r="E201" s="78"/>
      <c r="F201" s="78"/>
      <c r="G201" s="76"/>
      <c r="H201" s="75"/>
      <c r="I201" s="187">
        <v>175</v>
      </c>
    </row>
    <row r="202" spans="1:9" x14ac:dyDescent="0.25">
      <c r="A202">
        <v>176</v>
      </c>
      <c r="B202" s="75"/>
      <c r="C202" s="207"/>
      <c r="D202" s="207"/>
      <c r="E202" s="78"/>
      <c r="F202" s="78"/>
      <c r="G202" s="76"/>
      <c r="H202" s="75"/>
      <c r="I202" s="187">
        <v>176</v>
      </c>
    </row>
    <row r="203" spans="1:9" x14ac:dyDescent="0.25">
      <c r="A203">
        <v>177</v>
      </c>
      <c r="B203" s="75"/>
      <c r="C203" s="207"/>
      <c r="D203" s="207"/>
      <c r="E203" s="78"/>
      <c r="F203" s="78"/>
      <c r="G203" s="76"/>
      <c r="H203" s="75"/>
      <c r="I203" s="187">
        <v>177</v>
      </c>
    </row>
    <row r="204" spans="1:9" x14ac:dyDescent="0.25">
      <c r="A204">
        <v>178</v>
      </c>
      <c r="B204" s="75"/>
      <c r="C204" s="207"/>
      <c r="D204" s="207"/>
      <c r="E204" s="78"/>
      <c r="F204" s="78"/>
      <c r="G204" s="76"/>
      <c r="H204" s="75"/>
      <c r="I204" s="187">
        <v>178</v>
      </c>
    </row>
    <row r="205" spans="1:9" x14ac:dyDescent="0.25">
      <c r="A205">
        <v>179</v>
      </c>
      <c r="B205" s="75"/>
      <c r="C205" s="207"/>
      <c r="D205" s="207"/>
      <c r="E205" s="78"/>
      <c r="F205" s="78"/>
      <c r="G205" s="76"/>
      <c r="H205" s="75"/>
      <c r="I205" s="187">
        <v>179</v>
      </c>
    </row>
    <row r="206" spans="1:9" x14ac:dyDescent="0.25">
      <c r="A206">
        <v>180</v>
      </c>
      <c r="B206" s="75"/>
      <c r="C206" s="207"/>
      <c r="D206" s="207"/>
      <c r="E206" s="78"/>
      <c r="F206" s="78"/>
      <c r="G206" s="76"/>
      <c r="H206" s="75"/>
      <c r="I206" s="187">
        <v>180</v>
      </c>
    </row>
    <row r="207" spans="1:9" x14ac:dyDescent="0.25">
      <c r="A207">
        <v>181</v>
      </c>
      <c r="B207" s="75"/>
      <c r="C207" s="207"/>
      <c r="D207" s="207"/>
      <c r="E207" s="78"/>
      <c r="F207" s="78"/>
      <c r="G207" s="76"/>
      <c r="H207" s="75"/>
      <c r="I207" s="187">
        <v>181</v>
      </c>
    </row>
    <row r="208" spans="1:9" x14ac:dyDescent="0.25">
      <c r="A208">
        <v>182</v>
      </c>
      <c r="B208" s="75"/>
      <c r="C208" s="207"/>
      <c r="D208" s="207"/>
      <c r="E208" s="78"/>
      <c r="F208" s="78"/>
      <c r="G208" s="76"/>
      <c r="H208" s="75"/>
      <c r="I208" s="187">
        <v>182</v>
      </c>
    </row>
    <row r="209" spans="1:9" x14ac:dyDescent="0.25">
      <c r="A209">
        <v>183</v>
      </c>
      <c r="B209" s="75"/>
      <c r="C209" s="207"/>
      <c r="D209" s="207"/>
      <c r="E209" s="78"/>
      <c r="F209" s="78"/>
      <c r="G209" s="76"/>
      <c r="H209" s="75"/>
      <c r="I209" s="187">
        <v>183</v>
      </c>
    </row>
    <row r="210" spans="1:9" x14ac:dyDescent="0.25">
      <c r="A210">
        <v>184</v>
      </c>
      <c r="B210" s="75"/>
      <c r="C210" s="207"/>
      <c r="D210" s="207"/>
      <c r="E210" s="78"/>
      <c r="F210" s="78"/>
      <c r="G210" s="76"/>
      <c r="H210" s="75"/>
      <c r="I210" s="187">
        <v>184</v>
      </c>
    </row>
    <row r="211" spans="1:9" x14ac:dyDescent="0.25">
      <c r="A211">
        <v>185</v>
      </c>
      <c r="B211" s="75"/>
      <c r="C211" s="207"/>
      <c r="D211" s="207"/>
      <c r="E211" s="78"/>
      <c r="F211" s="78"/>
      <c r="G211" s="76"/>
      <c r="H211" s="75"/>
      <c r="I211" s="187">
        <v>185</v>
      </c>
    </row>
    <row r="212" spans="1:9" x14ac:dyDescent="0.25">
      <c r="A212">
        <v>186</v>
      </c>
      <c r="B212" s="75"/>
      <c r="C212" s="207"/>
      <c r="D212" s="207"/>
      <c r="E212" s="78"/>
      <c r="F212" s="78"/>
      <c r="G212" s="76"/>
      <c r="H212" s="75"/>
      <c r="I212" s="187">
        <v>186</v>
      </c>
    </row>
    <row r="213" spans="1:9" x14ac:dyDescent="0.25">
      <c r="A213">
        <v>187</v>
      </c>
      <c r="B213" s="75"/>
      <c r="C213" s="207"/>
      <c r="D213" s="207"/>
      <c r="E213" s="78"/>
      <c r="F213" s="78"/>
      <c r="G213" s="76"/>
      <c r="H213" s="75"/>
      <c r="I213" s="187">
        <v>187</v>
      </c>
    </row>
    <row r="214" spans="1:9" x14ac:dyDescent="0.25">
      <c r="A214">
        <v>188</v>
      </c>
      <c r="B214" s="75"/>
      <c r="C214" s="207"/>
      <c r="D214" s="207"/>
      <c r="E214" s="78"/>
      <c r="F214" s="78"/>
      <c r="G214" s="76"/>
      <c r="H214" s="75"/>
      <c r="I214" s="187">
        <v>188</v>
      </c>
    </row>
    <row r="215" spans="1:9" x14ac:dyDescent="0.25">
      <c r="A215">
        <v>189</v>
      </c>
      <c r="B215" s="75"/>
      <c r="C215" s="207"/>
      <c r="D215" s="207"/>
      <c r="E215" s="78"/>
      <c r="F215" s="78"/>
      <c r="G215" s="76"/>
      <c r="H215" s="75"/>
      <c r="I215" s="187">
        <v>189</v>
      </c>
    </row>
    <row r="216" spans="1:9" x14ac:dyDescent="0.25">
      <c r="A216">
        <v>190</v>
      </c>
      <c r="B216" s="75"/>
      <c r="C216" s="207"/>
      <c r="D216" s="207"/>
      <c r="E216" s="78"/>
      <c r="F216" s="78"/>
      <c r="G216" s="76"/>
      <c r="H216" s="75"/>
      <c r="I216" s="187">
        <v>190</v>
      </c>
    </row>
    <row r="217" spans="1:9" x14ac:dyDescent="0.25">
      <c r="A217">
        <v>191</v>
      </c>
      <c r="B217" s="75"/>
      <c r="C217" s="207"/>
      <c r="D217" s="207"/>
      <c r="E217" s="78"/>
      <c r="F217" s="78"/>
      <c r="G217" s="76"/>
      <c r="H217" s="75"/>
      <c r="I217" s="187">
        <v>191</v>
      </c>
    </row>
    <row r="218" spans="1:9" x14ac:dyDescent="0.25">
      <c r="A218">
        <v>192</v>
      </c>
      <c r="B218" s="75"/>
      <c r="C218" s="207"/>
      <c r="D218" s="207"/>
      <c r="E218" s="78"/>
      <c r="F218" s="78"/>
      <c r="G218" s="76"/>
      <c r="H218" s="75"/>
      <c r="I218" s="187">
        <v>192</v>
      </c>
    </row>
    <row r="219" spans="1:9" x14ac:dyDescent="0.25">
      <c r="A219">
        <v>193</v>
      </c>
      <c r="B219" s="75"/>
      <c r="C219" s="207"/>
      <c r="D219" s="207"/>
      <c r="E219" s="78"/>
      <c r="F219" s="78"/>
      <c r="G219" s="76"/>
      <c r="H219" s="75"/>
      <c r="I219" s="187">
        <v>193</v>
      </c>
    </row>
    <row r="220" spans="1:9" x14ac:dyDescent="0.25">
      <c r="A220">
        <v>194</v>
      </c>
      <c r="B220" s="75"/>
      <c r="C220" s="207"/>
      <c r="D220" s="207"/>
      <c r="E220" s="78"/>
      <c r="F220" s="78"/>
      <c r="G220" s="76"/>
      <c r="H220" s="75"/>
      <c r="I220" s="187">
        <v>194</v>
      </c>
    </row>
    <row r="221" spans="1:9" x14ac:dyDescent="0.25">
      <c r="A221">
        <v>195</v>
      </c>
      <c r="B221" s="75"/>
      <c r="C221" s="207"/>
      <c r="D221" s="207"/>
      <c r="E221" s="78"/>
      <c r="F221" s="78"/>
      <c r="G221" s="76"/>
      <c r="H221" s="75"/>
      <c r="I221" s="187">
        <v>195</v>
      </c>
    </row>
    <row r="222" spans="1:9" x14ac:dyDescent="0.25">
      <c r="A222">
        <v>196</v>
      </c>
      <c r="B222" s="75"/>
      <c r="C222" s="207"/>
      <c r="D222" s="207"/>
      <c r="E222" s="78"/>
      <c r="F222" s="78"/>
      <c r="G222" s="76"/>
      <c r="H222" s="75"/>
      <c r="I222" s="187">
        <v>196</v>
      </c>
    </row>
    <row r="223" spans="1:9" x14ac:dyDescent="0.25">
      <c r="A223">
        <v>197</v>
      </c>
      <c r="B223" s="75"/>
      <c r="C223" s="207"/>
      <c r="D223" s="207"/>
      <c r="E223" s="78"/>
      <c r="F223" s="78"/>
      <c r="G223" s="76"/>
      <c r="H223" s="75"/>
      <c r="I223" s="187">
        <v>197</v>
      </c>
    </row>
    <row r="224" spans="1:9" x14ac:dyDescent="0.25">
      <c r="A224">
        <v>198</v>
      </c>
      <c r="B224" s="75"/>
      <c r="C224" s="207"/>
      <c r="D224" s="207"/>
      <c r="E224" s="78"/>
      <c r="F224" s="78"/>
      <c r="G224" s="76"/>
      <c r="H224" s="75"/>
      <c r="I224" s="187">
        <v>198</v>
      </c>
    </row>
    <row r="225" spans="1:9" x14ac:dyDescent="0.25">
      <c r="A225">
        <v>199</v>
      </c>
      <c r="B225" s="75"/>
      <c r="C225" s="207"/>
      <c r="D225" s="207"/>
      <c r="E225" s="78"/>
      <c r="F225" s="78"/>
      <c r="G225" s="76"/>
      <c r="H225" s="75"/>
      <c r="I225" s="187">
        <v>199</v>
      </c>
    </row>
    <row r="226" spans="1:9" x14ac:dyDescent="0.25">
      <c r="A226">
        <v>200</v>
      </c>
      <c r="B226" s="75"/>
      <c r="C226" s="207"/>
      <c r="D226" s="207"/>
      <c r="E226" s="78"/>
      <c r="F226" s="78"/>
      <c r="G226" s="76"/>
      <c r="H226" s="75"/>
      <c r="I226" s="187">
        <v>200</v>
      </c>
    </row>
    <row r="227" spans="1:9" x14ac:dyDescent="0.25">
      <c r="A227">
        <v>201</v>
      </c>
      <c r="B227" s="75"/>
      <c r="C227" s="207"/>
      <c r="D227" s="207"/>
      <c r="E227" s="78"/>
      <c r="F227" s="78"/>
      <c r="G227" s="76"/>
      <c r="H227" s="75"/>
      <c r="I227" s="187">
        <v>201</v>
      </c>
    </row>
    <row r="228" spans="1:9" x14ac:dyDescent="0.25">
      <c r="A228">
        <v>202</v>
      </c>
      <c r="B228" s="75"/>
      <c r="C228" s="207"/>
      <c r="D228" s="207"/>
      <c r="E228" s="78"/>
      <c r="F228" s="78"/>
      <c r="G228" s="76"/>
      <c r="H228" s="75"/>
      <c r="I228" s="187">
        <v>202</v>
      </c>
    </row>
    <row r="229" spans="1:9" x14ac:dyDescent="0.25">
      <c r="A229">
        <v>203</v>
      </c>
      <c r="B229" s="75"/>
      <c r="C229" s="207"/>
      <c r="D229" s="207"/>
      <c r="E229" s="78"/>
      <c r="F229" s="78"/>
      <c r="G229" s="76"/>
      <c r="H229" s="75"/>
      <c r="I229" s="187">
        <v>203</v>
      </c>
    </row>
    <row r="230" spans="1:9" x14ac:dyDescent="0.25">
      <c r="A230">
        <v>204</v>
      </c>
      <c r="B230" s="75"/>
      <c r="C230" s="207"/>
      <c r="D230" s="207"/>
      <c r="E230" s="78"/>
      <c r="F230" s="78"/>
      <c r="G230" s="76"/>
      <c r="H230" s="75"/>
      <c r="I230" s="187">
        <v>204</v>
      </c>
    </row>
    <row r="231" spans="1:9" x14ac:dyDescent="0.25">
      <c r="A231">
        <v>205</v>
      </c>
      <c r="B231" s="75"/>
      <c r="C231" s="207"/>
      <c r="D231" s="207"/>
      <c r="E231" s="78"/>
      <c r="F231" s="78"/>
      <c r="G231" s="76"/>
      <c r="H231" s="75"/>
      <c r="I231" s="187">
        <v>205</v>
      </c>
    </row>
    <row r="232" spans="1:9" x14ac:dyDescent="0.25">
      <c r="A232">
        <v>206</v>
      </c>
      <c r="B232" s="75"/>
      <c r="C232" s="207"/>
      <c r="D232" s="207"/>
      <c r="E232" s="78"/>
      <c r="F232" s="78"/>
      <c r="G232" s="76"/>
      <c r="H232" s="75"/>
      <c r="I232" s="187">
        <v>206</v>
      </c>
    </row>
    <row r="233" spans="1:9" x14ac:dyDescent="0.25">
      <c r="A233">
        <v>207</v>
      </c>
      <c r="B233" s="75"/>
      <c r="C233" s="207"/>
      <c r="D233" s="207"/>
      <c r="E233" s="78"/>
      <c r="F233" s="78"/>
      <c r="G233" s="76"/>
      <c r="H233" s="75"/>
      <c r="I233" s="187">
        <v>207</v>
      </c>
    </row>
    <row r="234" spans="1:9" x14ac:dyDescent="0.25">
      <c r="A234">
        <v>208</v>
      </c>
      <c r="B234" s="75"/>
      <c r="C234" s="207"/>
      <c r="D234" s="207"/>
      <c r="E234" s="78"/>
      <c r="F234" s="78"/>
      <c r="G234" s="76"/>
      <c r="H234" s="75"/>
      <c r="I234" s="187">
        <v>208</v>
      </c>
    </row>
    <row r="235" spans="1:9" x14ac:dyDescent="0.25">
      <c r="A235">
        <v>209</v>
      </c>
      <c r="B235" s="75"/>
      <c r="C235" s="207"/>
      <c r="D235" s="207"/>
      <c r="E235" s="78"/>
      <c r="F235" s="78"/>
      <c r="G235" s="76"/>
      <c r="H235" s="75"/>
      <c r="I235" s="187">
        <v>209</v>
      </c>
    </row>
    <row r="236" spans="1:9" x14ac:dyDescent="0.25">
      <c r="A236">
        <v>210</v>
      </c>
      <c r="B236" s="75"/>
      <c r="C236" s="207"/>
      <c r="D236" s="207"/>
      <c r="E236" s="78"/>
      <c r="F236" s="78"/>
      <c r="G236" s="76"/>
      <c r="H236" s="75"/>
      <c r="I236" s="187">
        <v>210</v>
      </c>
    </row>
    <row r="237" spans="1:9" x14ac:dyDescent="0.25">
      <c r="A237">
        <v>211</v>
      </c>
      <c r="B237" s="75"/>
      <c r="C237" s="207"/>
      <c r="D237" s="207"/>
      <c r="E237" s="78"/>
      <c r="F237" s="78"/>
      <c r="G237" s="76"/>
      <c r="H237" s="75"/>
      <c r="I237" s="187">
        <v>211</v>
      </c>
    </row>
    <row r="238" spans="1:9" x14ac:dyDescent="0.25">
      <c r="A238">
        <v>212</v>
      </c>
      <c r="B238" s="75"/>
      <c r="C238" s="207"/>
      <c r="D238" s="207"/>
      <c r="E238" s="78"/>
      <c r="F238" s="78"/>
      <c r="G238" s="76"/>
      <c r="H238" s="75"/>
      <c r="I238" s="187">
        <v>212</v>
      </c>
    </row>
    <row r="239" spans="1:9" x14ac:dyDescent="0.25">
      <c r="A239">
        <v>213</v>
      </c>
      <c r="B239" s="75"/>
      <c r="C239" s="207"/>
      <c r="D239" s="207"/>
      <c r="E239" s="78"/>
      <c r="F239" s="78"/>
      <c r="G239" s="76"/>
      <c r="H239" s="75"/>
      <c r="I239" s="187">
        <v>213</v>
      </c>
    </row>
    <row r="240" spans="1:9" x14ac:dyDescent="0.25">
      <c r="A240">
        <v>214</v>
      </c>
      <c r="B240" s="75"/>
      <c r="C240" s="207"/>
      <c r="D240" s="207"/>
      <c r="E240" s="78"/>
      <c r="F240" s="78"/>
      <c r="G240" s="76"/>
      <c r="H240" s="75"/>
      <c r="I240" s="187">
        <v>214</v>
      </c>
    </row>
    <row r="241" spans="1:9" x14ac:dyDescent="0.25">
      <c r="A241">
        <v>215</v>
      </c>
      <c r="B241" s="75"/>
      <c r="C241" s="207"/>
      <c r="D241" s="207"/>
      <c r="E241" s="78"/>
      <c r="F241" s="78"/>
      <c r="G241" s="76"/>
      <c r="H241" s="75"/>
      <c r="I241" s="187">
        <v>215</v>
      </c>
    </row>
    <row r="242" spans="1:9" x14ac:dyDescent="0.25">
      <c r="A242">
        <v>216</v>
      </c>
      <c r="B242" s="75"/>
      <c r="C242" s="207"/>
      <c r="D242" s="207"/>
      <c r="E242" s="78"/>
      <c r="F242" s="78"/>
      <c r="G242" s="76"/>
      <c r="H242" s="75"/>
      <c r="I242" s="187">
        <v>216</v>
      </c>
    </row>
    <row r="243" spans="1:9" x14ac:dyDescent="0.25">
      <c r="A243">
        <v>217</v>
      </c>
      <c r="B243" s="75"/>
      <c r="C243" s="207"/>
      <c r="D243" s="207"/>
      <c r="E243" s="78"/>
      <c r="F243" s="78"/>
      <c r="G243" s="76"/>
      <c r="H243" s="75"/>
      <c r="I243" s="187">
        <v>217</v>
      </c>
    </row>
    <row r="244" spans="1:9" x14ac:dyDescent="0.25">
      <c r="A244">
        <v>218</v>
      </c>
      <c r="B244" s="75"/>
      <c r="C244" s="207"/>
      <c r="D244" s="207"/>
      <c r="E244" s="78"/>
      <c r="F244" s="78"/>
      <c r="G244" s="76"/>
      <c r="H244" s="75"/>
      <c r="I244" s="187">
        <v>218</v>
      </c>
    </row>
    <row r="245" spans="1:9" x14ac:dyDescent="0.25">
      <c r="A245">
        <v>219</v>
      </c>
      <c r="B245" s="75"/>
      <c r="C245" s="207"/>
      <c r="D245" s="207"/>
      <c r="E245" s="78"/>
      <c r="F245" s="78"/>
      <c r="G245" s="76"/>
      <c r="H245" s="75"/>
      <c r="I245" s="187">
        <v>219</v>
      </c>
    </row>
    <row r="246" spans="1:9" x14ac:dyDescent="0.25">
      <c r="A246">
        <v>220</v>
      </c>
      <c r="B246" s="75"/>
      <c r="C246" s="207"/>
      <c r="D246" s="207"/>
      <c r="E246" s="78"/>
      <c r="F246" s="78"/>
      <c r="G246" s="76"/>
      <c r="H246" s="75"/>
      <c r="I246" s="187">
        <v>220</v>
      </c>
    </row>
    <row r="247" spans="1:9" x14ac:dyDescent="0.25">
      <c r="A247">
        <v>221</v>
      </c>
      <c r="B247" s="75"/>
      <c r="C247" s="207"/>
      <c r="D247" s="207"/>
      <c r="E247" s="78"/>
      <c r="F247" s="78"/>
      <c r="G247" s="76"/>
      <c r="H247" s="75"/>
      <c r="I247" s="187">
        <v>221</v>
      </c>
    </row>
    <row r="248" spans="1:9" x14ac:dyDescent="0.25">
      <c r="A248">
        <v>222</v>
      </c>
      <c r="B248" s="75"/>
      <c r="C248" s="207"/>
      <c r="D248" s="207"/>
      <c r="E248" s="78"/>
      <c r="F248" s="78"/>
      <c r="G248" s="76"/>
      <c r="H248" s="75"/>
      <c r="I248" s="187">
        <v>222</v>
      </c>
    </row>
    <row r="249" spans="1:9" x14ac:dyDescent="0.25">
      <c r="A249">
        <v>223</v>
      </c>
      <c r="B249" s="75"/>
      <c r="C249" s="207"/>
      <c r="D249" s="207"/>
      <c r="E249" s="78"/>
      <c r="F249" s="78"/>
      <c r="G249" s="76"/>
      <c r="H249" s="75"/>
      <c r="I249" s="187">
        <v>223</v>
      </c>
    </row>
    <row r="250" spans="1:9" x14ac:dyDescent="0.25">
      <c r="A250">
        <v>224</v>
      </c>
      <c r="B250" s="75"/>
      <c r="C250" s="207"/>
      <c r="D250" s="207"/>
      <c r="E250" s="78"/>
      <c r="F250" s="78"/>
      <c r="G250" s="76"/>
      <c r="H250" s="75"/>
      <c r="I250" s="187">
        <v>224</v>
      </c>
    </row>
    <row r="251" spans="1:9" x14ac:dyDescent="0.25">
      <c r="A251">
        <v>225</v>
      </c>
      <c r="B251" s="75"/>
      <c r="C251" s="207"/>
      <c r="D251" s="207"/>
      <c r="E251" s="78"/>
      <c r="F251" s="78"/>
      <c r="G251" s="76"/>
      <c r="H251" s="75"/>
      <c r="I251" s="187">
        <v>225</v>
      </c>
    </row>
    <row r="252" spans="1:9" x14ac:dyDescent="0.25">
      <c r="A252">
        <v>226</v>
      </c>
      <c r="B252" s="75"/>
      <c r="C252" s="207"/>
      <c r="D252" s="207"/>
      <c r="E252" s="78"/>
      <c r="F252" s="78"/>
      <c r="G252" s="76"/>
      <c r="H252" s="75"/>
      <c r="I252" s="187">
        <v>226</v>
      </c>
    </row>
    <row r="253" spans="1:9" x14ac:dyDescent="0.25">
      <c r="A253">
        <v>227</v>
      </c>
      <c r="B253" s="75"/>
      <c r="C253" s="207"/>
      <c r="D253" s="207"/>
      <c r="E253" s="78"/>
      <c r="F253" s="78"/>
      <c r="G253" s="76"/>
      <c r="H253" s="75"/>
      <c r="I253" s="187">
        <v>227</v>
      </c>
    </row>
    <row r="254" spans="1:9" x14ac:dyDescent="0.25">
      <c r="A254">
        <v>228</v>
      </c>
      <c r="B254" s="75"/>
      <c r="C254" s="207"/>
      <c r="D254" s="207"/>
      <c r="E254" s="78"/>
      <c r="F254" s="78"/>
      <c r="G254" s="76"/>
      <c r="H254" s="75"/>
      <c r="I254" s="187">
        <v>228</v>
      </c>
    </row>
    <row r="255" spans="1:9" x14ac:dyDescent="0.25">
      <c r="A255">
        <v>229</v>
      </c>
      <c r="B255" s="75"/>
      <c r="C255" s="207"/>
      <c r="D255" s="207"/>
      <c r="E255" s="78"/>
      <c r="F255" s="78"/>
      <c r="G255" s="76"/>
      <c r="H255" s="75"/>
      <c r="I255" s="187">
        <v>229</v>
      </c>
    </row>
    <row r="256" spans="1:9" x14ac:dyDescent="0.25">
      <c r="A256">
        <v>230</v>
      </c>
      <c r="B256" s="75"/>
      <c r="C256" s="207"/>
      <c r="D256" s="207"/>
      <c r="E256" s="78"/>
      <c r="F256" s="78"/>
      <c r="G256" s="76"/>
      <c r="H256" s="75"/>
      <c r="I256" s="187">
        <v>230</v>
      </c>
    </row>
    <row r="257" spans="1:9" x14ac:dyDescent="0.25">
      <c r="A257">
        <v>231</v>
      </c>
      <c r="B257" s="75"/>
      <c r="C257" s="207"/>
      <c r="D257" s="207"/>
      <c r="E257" s="78"/>
      <c r="F257" s="78"/>
      <c r="G257" s="76"/>
      <c r="H257" s="75"/>
      <c r="I257" s="187">
        <v>231</v>
      </c>
    </row>
    <row r="258" spans="1:9" x14ac:dyDescent="0.25">
      <c r="A258">
        <v>232</v>
      </c>
      <c r="B258" s="75"/>
      <c r="C258" s="207"/>
      <c r="D258" s="207"/>
      <c r="E258" s="78"/>
      <c r="F258" s="78"/>
      <c r="G258" s="76"/>
      <c r="H258" s="75"/>
      <c r="I258" s="187">
        <v>232</v>
      </c>
    </row>
    <row r="259" spans="1:9" x14ac:dyDescent="0.25">
      <c r="A259">
        <v>233</v>
      </c>
      <c r="B259" s="75"/>
      <c r="C259" s="207"/>
      <c r="D259" s="207"/>
      <c r="E259" s="78"/>
      <c r="F259" s="78"/>
      <c r="G259" s="76"/>
      <c r="H259" s="75"/>
      <c r="I259" s="187">
        <v>233</v>
      </c>
    </row>
    <row r="260" spans="1:9" x14ac:dyDescent="0.25">
      <c r="A260">
        <v>234</v>
      </c>
      <c r="B260" s="75"/>
      <c r="C260" s="207"/>
      <c r="D260" s="207"/>
      <c r="E260" s="78"/>
      <c r="F260" s="78"/>
      <c r="G260" s="76"/>
      <c r="H260" s="75"/>
      <c r="I260" s="187">
        <v>234</v>
      </c>
    </row>
    <row r="261" spans="1:9" x14ac:dyDescent="0.25">
      <c r="A261">
        <v>235</v>
      </c>
      <c r="B261" s="75"/>
      <c r="C261" s="207"/>
      <c r="D261" s="207"/>
      <c r="E261" s="78"/>
      <c r="F261" s="78"/>
      <c r="G261" s="76"/>
      <c r="H261" s="75"/>
      <c r="I261" s="187">
        <v>235</v>
      </c>
    </row>
    <row r="262" spans="1:9" x14ac:dyDescent="0.25">
      <c r="A262">
        <v>236</v>
      </c>
      <c r="B262" s="75"/>
      <c r="C262" s="207"/>
      <c r="D262" s="207"/>
      <c r="E262" s="78"/>
      <c r="F262" s="78"/>
      <c r="G262" s="76"/>
      <c r="H262" s="75"/>
      <c r="I262" s="187">
        <v>236</v>
      </c>
    </row>
    <row r="263" spans="1:9" x14ac:dyDescent="0.25">
      <c r="A263">
        <v>237</v>
      </c>
      <c r="B263" s="75"/>
      <c r="C263" s="207"/>
      <c r="D263" s="207"/>
      <c r="E263" s="78"/>
      <c r="F263" s="78"/>
      <c r="G263" s="76"/>
      <c r="H263" s="75"/>
      <c r="I263" s="187">
        <v>237</v>
      </c>
    </row>
    <row r="264" spans="1:9" x14ac:dyDescent="0.25">
      <c r="A264">
        <v>238</v>
      </c>
      <c r="B264" s="75"/>
      <c r="C264" s="207"/>
      <c r="D264" s="207"/>
      <c r="E264" s="78"/>
      <c r="F264" s="78"/>
      <c r="G264" s="76"/>
      <c r="H264" s="75"/>
      <c r="I264" s="187">
        <v>238</v>
      </c>
    </row>
    <row r="265" spans="1:9" x14ac:dyDescent="0.25">
      <c r="A265">
        <v>239</v>
      </c>
      <c r="B265" s="75"/>
      <c r="C265" s="207"/>
      <c r="D265" s="207"/>
      <c r="E265" s="78"/>
      <c r="F265" s="78"/>
      <c r="G265" s="76"/>
      <c r="H265" s="75"/>
      <c r="I265" s="187">
        <v>239</v>
      </c>
    </row>
    <row r="266" spans="1:9" x14ac:dyDescent="0.25">
      <c r="A266">
        <v>240</v>
      </c>
      <c r="B266" s="75"/>
      <c r="C266" s="207"/>
      <c r="D266" s="207"/>
      <c r="E266" s="78"/>
      <c r="F266" s="78"/>
      <c r="G266" s="76"/>
      <c r="H266" s="75"/>
      <c r="I266" s="187">
        <v>240</v>
      </c>
    </row>
    <row r="267" spans="1:9" x14ac:dyDescent="0.25">
      <c r="A267">
        <v>241</v>
      </c>
      <c r="B267" s="75"/>
      <c r="C267" s="207"/>
      <c r="D267" s="207"/>
      <c r="E267" s="78"/>
      <c r="F267" s="78"/>
      <c r="G267" s="76"/>
      <c r="H267" s="75"/>
      <c r="I267" s="187">
        <v>241</v>
      </c>
    </row>
    <row r="268" spans="1:9" x14ac:dyDescent="0.25">
      <c r="A268">
        <v>242</v>
      </c>
      <c r="B268" s="75"/>
      <c r="C268" s="207"/>
      <c r="D268" s="207"/>
      <c r="E268" s="78"/>
      <c r="F268" s="78"/>
      <c r="G268" s="76"/>
      <c r="H268" s="75"/>
      <c r="I268" s="187">
        <v>242</v>
      </c>
    </row>
    <row r="269" spans="1:9" x14ac:dyDescent="0.25">
      <c r="A269">
        <v>243</v>
      </c>
      <c r="B269" s="75"/>
      <c r="C269" s="207"/>
      <c r="D269" s="207"/>
      <c r="E269" s="78"/>
      <c r="F269" s="78"/>
      <c r="G269" s="76"/>
      <c r="H269" s="75"/>
      <c r="I269" s="187">
        <v>243</v>
      </c>
    </row>
    <row r="270" spans="1:9" x14ac:dyDescent="0.25">
      <c r="A270">
        <v>244</v>
      </c>
      <c r="B270" s="75"/>
      <c r="C270" s="207"/>
      <c r="D270" s="207"/>
      <c r="E270" s="78"/>
      <c r="F270" s="78"/>
      <c r="G270" s="76"/>
      <c r="H270" s="75"/>
      <c r="I270" s="187">
        <v>244</v>
      </c>
    </row>
    <row r="271" spans="1:9" x14ac:dyDescent="0.25">
      <c r="A271">
        <v>245</v>
      </c>
      <c r="B271" s="75"/>
      <c r="C271" s="207"/>
      <c r="D271" s="207"/>
      <c r="E271" s="78"/>
      <c r="F271" s="78"/>
      <c r="G271" s="76"/>
      <c r="H271" s="75"/>
      <c r="I271" s="187">
        <v>245</v>
      </c>
    </row>
    <row r="272" spans="1:9" x14ac:dyDescent="0.25">
      <c r="A272">
        <v>246</v>
      </c>
      <c r="B272" s="75"/>
      <c r="C272" s="207"/>
      <c r="D272" s="207"/>
      <c r="E272" s="78"/>
      <c r="F272" s="78"/>
      <c r="G272" s="76"/>
      <c r="H272" s="75"/>
      <c r="I272" s="187">
        <v>246</v>
      </c>
    </row>
    <row r="273" spans="1:9" x14ac:dyDescent="0.25">
      <c r="A273">
        <v>247</v>
      </c>
      <c r="B273" s="75"/>
      <c r="C273" s="207"/>
      <c r="D273" s="207"/>
      <c r="E273" s="78"/>
      <c r="F273" s="78"/>
      <c r="G273" s="76"/>
      <c r="H273" s="75"/>
      <c r="I273" s="187">
        <v>247</v>
      </c>
    </row>
    <row r="274" spans="1:9" x14ac:dyDescent="0.25">
      <c r="A274">
        <v>248</v>
      </c>
      <c r="B274" s="75"/>
      <c r="C274" s="207"/>
      <c r="D274" s="207"/>
      <c r="E274" s="78"/>
      <c r="F274" s="78"/>
      <c r="G274" s="76"/>
      <c r="H274" s="75"/>
      <c r="I274" s="187">
        <v>248</v>
      </c>
    </row>
    <row r="275" spans="1:9" x14ac:dyDescent="0.25">
      <c r="A275">
        <v>249</v>
      </c>
      <c r="B275" s="75"/>
      <c r="C275" s="207"/>
      <c r="D275" s="207"/>
      <c r="E275" s="78"/>
      <c r="F275" s="78"/>
      <c r="G275" s="76"/>
      <c r="H275" s="75"/>
      <c r="I275" s="187">
        <v>249</v>
      </c>
    </row>
    <row r="276" spans="1:9" x14ac:dyDescent="0.25">
      <c r="A276">
        <v>250</v>
      </c>
      <c r="B276" s="75"/>
      <c r="C276" s="207"/>
      <c r="D276" s="207"/>
      <c r="E276" s="78"/>
      <c r="F276" s="78"/>
      <c r="G276" s="76"/>
      <c r="H276" s="75"/>
      <c r="I276" s="187">
        <v>250</v>
      </c>
    </row>
    <row r="277" spans="1:9" x14ac:dyDescent="0.25">
      <c r="A277">
        <v>251</v>
      </c>
      <c r="B277" s="75"/>
      <c r="C277" s="207"/>
      <c r="D277" s="207"/>
      <c r="E277" s="78"/>
      <c r="F277" s="78"/>
      <c r="G277" s="76"/>
      <c r="H277" s="75"/>
      <c r="I277" s="187">
        <v>251</v>
      </c>
    </row>
    <row r="278" spans="1:9" x14ac:dyDescent="0.25">
      <c r="A278">
        <v>252</v>
      </c>
      <c r="B278" s="75"/>
      <c r="C278" s="207"/>
      <c r="D278" s="207"/>
      <c r="E278" s="78"/>
      <c r="F278" s="78"/>
      <c r="G278" s="76"/>
      <c r="H278" s="75"/>
      <c r="I278" s="187">
        <v>252</v>
      </c>
    </row>
    <row r="279" spans="1:9" x14ac:dyDescent="0.25">
      <c r="A279">
        <v>253</v>
      </c>
      <c r="B279" s="75"/>
      <c r="C279" s="207"/>
      <c r="D279" s="207"/>
      <c r="E279" s="78"/>
      <c r="F279" s="78"/>
      <c r="G279" s="76"/>
      <c r="H279" s="75"/>
      <c r="I279" s="187">
        <v>253</v>
      </c>
    </row>
    <row r="280" spans="1:9" x14ac:dyDescent="0.25">
      <c r="A280">
        <v>254</v>
      </c>
      <c r="B280" s="75"/>
      <c r="C280" s="207"/>
      <c r="D280" s="207"/>
      <c r="E280" s="78"/>
      <c r="F280" s="78"/>
      <c r="G280" s="76"/>
      <c r="H280" s="75"/>
      <c r="I280" s="187">
        <v>254</v>
      </c>
    </row>
    <row r="281" spans="1:9" x14ac:dyDescent="0.25">
      <c r="A281">
        <v>255</v>
      </c>
      <c r="B281" s="75"/>
      <c r="C281" s="207"/>
      <c r="D281" s="207"/>
      <c r="E281" s="78"/>
      <c r="F281" s="78"/>
      <c r="G281" s="76"/>
      <c r="H281" s="75"/>
      <c r="I281" s="187">
        <v>255</v>
      </c>
    </row>
    <row r="282" spans="1:9" x14ac:dyDescent="0.25">
      <c r="A282">
        <v>256</v>
      </c>
      <c r="B282" s="75"/>
      <c r="C282" s="207"/>
      <c r="D282" s="207"/>
      <c r="E282" s="78"/>
      <c r="F282" s="78"/>
      <c r="G282" s="76"/>
      <c r="H282" s="75"/>
      <c r="I282" s="187">
        <v>256</v>
      </c>
    </row>
    <row r="283" spans="1:9" x14ac:dyDescent="0.25">
      <c r="A283">
        <v>257</v>
      </c>
      <c r="B283" s="75"/>
      <c r="C283" s="207"/>
      <c r="D283" s="207"/>
      <c r="E283" s="78"/>
      <c r="F283" s="78"/>
      <c r="G283" s="76"/>
      <c r="H283" s="75"/>
      <c r="I283" s="187">
        <v>257</v>
      </c>
    </row>
    <row r="284" spans="1:9" x14ac:dyDescent="0.25">
      <c r="A284">
        <v>258</v>
      </c>
      <c r="B284" s="75"/>
      <c r="C284" s="207"/>
      <c r="D284" s="207"/>
      <c r="E284" s="78"/>
      <c r="F284" s="78"/>
      <c r="G284" s="76"/>
      <c r="H284" s="75"/>
      <c r="I284" s="187">
        <v>258</v>
      </c>
    </row>
    <row r="285" spans="1:9" x14ac:dyDescent="0.25">
      <c r="A285">
        <v>259</v>
      </c>
      <c r="B285" s="75"/>
      <c r="C285" s="207"/>
      <c r="D285" s="207"/>
      <c r="E285" s="78"/>
      <c r="F285" s="78"/>
      <c r="G285" s="76"/>
      <c r="H285" s="75"/>
      <c r="I285" s="187">
        <v>259</v>
      </c>
    </row>
    <row r="286" spans="1:9" x14ac:dyDescent="0.25">
      <c r="A286">
        <v>260</v>
      </c>
      <c r="B286" s="75"/>
      <c r="C286" s="207"/>
      <c r="D286" s="207"/>
      <c r="E286" s="78"/>
      <c r="F286" s="78"/>
      <c r="G286" s="76"/>
      <c r="H286" s="75"/>
      <c r="I286" s="187">
        <v>260</v>
      </c>
    </row>
    <row r="287" spans="1:9" x14ac:dyDescent="0.25">
      <c r="A287">
        <v>261</v>
      </c>
      <c r="B287" s="75"/>
      <c r="C287" s="207"/>
      <c r="D287" s="207"/>
      <c r="E287" s="78"/>
      <c r="F287" s="78"/>
      <c r="G287" s="76"/>
      <c r="H287" s="75"/>
      <c r="I287" s="187">
        <v>261</v>
      </c>
    </row>
    <row r="288" spans="1:9" x14ac:dyDescent="0.25">
      <c r="A288">
        <v>262</v>
      </c>
      <c r="B288" s="75"/>
      <c r="C288" s="207"/>
      <c r="D288" s="207"/>
      <c r="E288" s="78"/>
      <c r="F288" s="78"/>
      <c r="G288" s="76"/>
      <c r="H288" s="75"/>
      <c r="I288" s="187">
        <v>262</v>
      </c>
    </row>
    <row r="289" spans="1:9" x14ac:dyDescent="0.25">
      <c r="A289">
        <v>263</v>
      </c>
      <c r="B289" s="75"/>
      <c r="C289" s="207"/>
      <c r="D289" s="207"/>
      <c r="E289" s="78"/>
      <c r="F289" s="78"/>
      <c r="G289" s="76"/>
      <c r="H289" s="75"/>
      <c r="I289" s="187">
        <v>263</v>
      </c>
    </row>
    <row r="290" spans="1:9" x14ac:dyDescent="0.25">
      <c r="A290">
        <v>264</v>
      </c>
      <c r="B290" s="75"/>
      <c r="C290" s="207"/>
      <c r="D290" s="207"/>
      <c r="E290" s="78"/>
      <c r="F290" s="78"/>
      <c r="G290" s="76"/>
      <c r="H290" s="75"/>
      <c r="I290" s="187">
        <v>264</v>
      </c>
    </row>
    <row r="291" spans="1:9" x14ac:dyDescent="0.25">
      <c r="A291">
        <v>265</v>
      </c>
      <c r="B291" s="75"/>
      <c r="C291" s="207"/>
      <c r="D291" s="207"/>
      <c r="E291" s="78"/>
      <c r="F291" s="78"/>
      <c r="G291" s="76"/>
      <c r="H291" s="75"/>
      <c r="I291" s="187">
        <v>265</v>
      </c>
    </row>
    <row r="292" spans="1:9" x14ac:dyDescent="0.25">
      <c r="A292">
        <v>266</v>
      </c>
      <c r="B292" s="75"/>
      <c r="C292" s="207"/>
      <c r="D292" s="207"/>
      <c r="E292" s="78"/>
      <c r="F292" s="78"/>
      <c r="G292" s="76"/>
      <c r="H292" s="75"/>
      <c r="I292" s="187">
        <v>266</v>
      </c>
    </row>
    <row r="293" spans="1:9" x14ac:dyDescent="0.25">
      <c r="A293">
        <v>267</v>
      </c>
      <c r="B293" s="75"/>
      <c r="C293" s="207"/>
      <c r="D293" s="207"/>
      <c r="E293" s="78"/>
      <c r="F293" s="78"/>
      <c r="G293" s="76"/>
      <c r="H293" s="75"/>
      <c r="I293" s="187">
        <v>267</v>
      </c>
    </row>
    <row r="294" spans="1:9" x14ac:dyDescent="0.25">
      <c r="A294">
        <v>268</v>
      </c>
      <c r="B294" s="75"/>
      <c r="C294" s="207"/>
      <c r="D294" s="207"/>
      <c r="E294" s="78"/>
      <c r="F294" s="78"/>
      <c r="G294" s="76"/>
      <c r="H294" s="75"/>
      <c r="I294" s="187">
        <v>268</v>
      </c>
    </row>
    <row r="295" spans="1:9" x14ac:dyDescent="0.25">
      <c r="A295">
        <v>269</v>
      </c>
      <c r="B295" s="75"/>
      <c r="C295" s="207"/>
      <c r="D295" s="207"/>
      <c r="E295" s="78"/>
      <c r="F295" s="78"/>
      <c r="G295" s="76"/>
      <c r="H295" s="75"/>
      <c r="I295" s="187">
        <v>269</v>
      </c>
    </row>
    <row r="296" spans="1:9" x14ac:dyDescent="0.25">
      <c r="A296">
        <v>270</v>
      </c>
      <c r="B296" s="75"/>
      <c r="C296" s="207"/>
      <c r="D296" s="207"/>
      <c r="E296" s="78"/>
      <c r="F296" s="78"/>
      <c r="G296" s="76"/>
      <c r="H296" s="75"/>
      <c r="I296" s="187">
        <v>270</v>
      </c>
    </row>
    <row r="297" spans="1:9" x14ac:dyDescent="0.25">
      <c r="A297">
        <v>271</v>
      </c>
      <c r="B297" s="75"/>
      <c r="C297" s="207"/>
      <c r="D297" s="207"/>
      <c r="E297" s="78"/>
      <c r="F297" s="78"/>
      <c r="G297" s="76"/>
      <c r="H297" s="75"/>
      <c r="I297" s="187">
        <v>271</v>
      </c>
    </row>
    <row r="298" spans="1:9" x14ac:dyDescent="0.25">
      <c r="A298">
        <v>272</v>
      </c>
      <c r="B298" s="75"/>
      <c r="C298" s="207"/>
      <c r="D298" s="207"/>
      <c r="E298" s="78"/>
      <c r="F298" s="78"/>
      <c r="G298" s="76"/>
      <c r="H298" s="75"/>
      <c r="I298" s="187">
        <v>272</v>
      </c>
    </row>
    <row r="299" spans="1:9" x14ac:dyDescent="0.25">
      <c r="A299">
        <v>273</v>
      </c>
      <c r="B299" s="75"/>
      <c r="C299" s="207"/>
      <c r="D299" s="207"/>
      <c r="E299" s="78"/>
      <c r="F299" s="78"/>
      <c r="G299" s="76"/>
      <c r="H299" s="75"/>
      <c r="I299" s="187">
        <v>273</v>
      </c>
    </row>
    <row r="300" spans="1:9" x14ac:dyDescent="0.25">
      <c r="A300">
        <v>274</v>
      </c>
      <c r="B300" s="75"/>
      <c r="C300" s="207"/>
      <c r="D300" s="207"/>
      <c r="E300" s="78"/>
      <c r="F300" s="78"/>
      <c r="G300" s="76"/>
      <c r="H300" s="75"/>
      <c r="I300" s="187">
        <v>274</v>
      </c>
    </row>
    <row r="301" spans="1:9" x14ac:dyDescent="0.25">
      <c r="A301">
        <v>275</v>
      </c>
      <c r="B301" s="75"/>
      <c r="C301" s="207"/>
      <c r="D301" s="207"/>
      <c r="E301" s="78"/>
      <c r="F301" s="78"/>
      <c r="G301" s="76"/>
      <c r="H301" s="75"/>
      <c r="I301" s="187">
        <v>275</v>
      </c>
    </row>
    <row r="302" spans="1:9" x14ac:dyDescent="0.25">
      <c r="A302">
        <v>276</v>
      </c>
      <c r="B302" s="75"/>
      <c r="C302" s="207"/>
      <c r="D302" s="207"/>
      <c r="E302" s="78"/>
      <c r="F302" s="78"/>
      <c r="G302" s="76"/>
      <c r="H302" s="75"/>
      <c r="I302" s="187">
        <v>276</v>
      </c>
    </row>
    <row r="303" spans="1:9" x14ac:dyDescent="0.25">
      <c r="A303">
        <v>277</v>
      </c>
      <c r="B303" s="75"/>
      <c r="C303" s="207"/>
      <c r="D303" s="207"/>
      <c r="E303" s="78"/>
      <c r="F303" s="78"/>
      <c r="G303" s="76"/>
      <c r="H303" s="75"/>
      <c r="I303" s="187">
        <v>277</v>
      </c>
    </row>
    <row r="304" spans="1:9" x14ac:dyDescent="0.25">
      <c r="A304">
        <v>278</v>
      </c>
      <c r="B304" s="75"/>
      <c r="C304" s="207"/>
      <c r="D304" s="207"/>
      <c r="E304" s="78"/>
      <c r="F304" s="78"/>
      <c r="G304" s="76"/>
      <c r="H304" s="75"/>
      <c r="I304" s="187">
        <v>278</v>
      </c>
    </row>
    <row r="305" spans="1:9" x14ac:dyDescent="0.25">
      <c r="A305">
        <v>279</v>
      </c>
      <c r="B305" s="75"/>
      <c r="C305" s="207"/>
      <c r="D305" s="207"/>
      <c r="E305" s="78"/>
      <c r="F305" s="78"/>
      <c r="G305" s="76"/>
      <c r="H305" s="75"/>
      <c r="I305" s="187">
        <v>279</v>
      </c>
    </row>
    <row r="306" spans="1:9" x14ac:dyDescent="0.25">
      <c r="A306">
        <v>280</v>
      </c>
      <c r="B306" s="75"/>
      <c r="C306" s="207"/>
      <c r="D306" s="207"/>
      <c r="E306" s="78"/>
      <c r="F306" s="78"/>
      <c r="G306" s="76"/>
      <c r="H306" s="75"/>
      <c r="I306" s="187">
        <v>280</v>
      </c>
    </row>
    <row r="307" spans="1:9" x14ac:dyDescent="0.25">
      <c r="A307">
        <v>281</v>
      </c>
      <c r="B307" s="75"/>
      <c r="C307" s="207"/>
      <c r="D307" s="207"/>
      <c r="E307" s="78"/>
      <c r="F307" s="78"/>
      <c r="G307" s="76"/>
      <c r="H307" s="75"/>
      <c r="I307" s="187">
        <v>281</v>
      </c>
    </row>
    <row r="308" spans="1:9" x14ac:dyDescent="0.25">
      <c r="A308">
        <v>282</v>
      </c>
      <c r="B308" s="75"/>
      <c r="C308" s="207"/>
      <c r="D308" s="207"/>
      <c r="E308" s="78"/>
      <c r="F308" s="78"/>
      <c r="G308" s="76"/>
      <c r="H308" s="75"/>
      <c r="I308" s="187">
        <v>282</v>
      </c>
    </row>
    <row r="309" spans="1:9" x14ac:dyDescent="0.25">
      <c r="A309">
        <v>283</v>
      </c>
      <c r="B309" s="75"/>
      <c r="C309" s="207"/>
      <c r="D309" s="207"/>
      <c r="E309" s="78"/>
      <c r="F309" s="78"/>
      <c r="G309" s="76"/>
      <c r="H309" s="75"/>
      <c r="I309" s="187">
        <v>283</v>
      </c>
    </row>
    <row r="310" spans="1:9" x14ac:dyDescent="0.25">
      <c r="A310">
        <v>284</v>
      </c>
      <c r="B310" s="75"/>
      <c r="C310" s="207"/>
      <c r="D310" s="207"/>
      <c r="E310" s="78"/>
      <c r="F310" s="78"/>
      <c r="G310" s="76"/>
      <c r="H310" s="75"/>
      <c r="I310" s="187">
        <v>284</v>
      </c>
    </row>
    <row r="311" spans="1:9" x14ac:dyDescent="0.25">
      <c r="A311">
        <v>285</v>
      </c>
      <c r="B311" s="75"/>
      <c r="C311" s="207"/>
      <c r="D311" s="207"/>
      <c r="E311" s="78"/>
      <c r="F311" s="78"/>
      <c r="G311" s="76"/>
      <c r="H311" s="75"/>
      <c r="I311" s="187">
        <v>285</v>
      </c>
    </row>
    <row r="312" spans="1:9" x14ac:dyDescent="0.25">
      <c r="A312">
        <v>286</v>
      </c>
      <c r="B312" s="75"/>
      <c r="C312" s="207"/>
      <c r="D312" s="207"/>
      <c r="E312" s="78"/>
      <c r="F312" s="78"/>
      <c r="G312" s="76"/>
      <c r="H312" s="75"/>
      <c r="I312" s="187">
        <v>286</v>
      </c>
    </row>
    <row r="313" spans="1:9" x14ac:dyDescent="0.25">
      <c r="A313">
        <v>287</v>
      </c>
      <c r="B313" s="75"/>
      <c r="C313" s="207"/>
      <c r="D313" s="207"/>
      <c r="E313" s="78"/>
      <c r="F313" s="78"/>
      <c r="G313" s="76"/>
      <c r="H313" s="75"/>
      <c r="I313" s="187">
        <v>287</v>
      </c>
    </row>
    <row r="314" spans="1:9" x14ac:dyDescent="0.25">
      <c r="A314">
        <v>288</v>
      </c>
      <c r="B314" s="75"/>
      <c r="C314" s="207"/>
      <c r="D314" s="207"/>
      <c r="E314" s="78"/>
      <c r="F314" s="78"/>
      <c r="G314" s="76"/>
      <c r="H314" s="75"/>
      <c r="I314" s="187">
        <v>288</v>
      </c>
    </row>
    <row r="315" spans="1:9" x14ac:dyDescent="0.25">
      <c r="A315">
        <v>289</v>
      </c>
      <c r="B315" s="75"/>
      <c r="C315" s="207"/>
      <c r="D315" s="207"/>
      <c r="E315" s="78"/>
      <c r="F315" s="78"/>
      <c r="G315" s="76"/>
      <c r="H315" s="75"/>
      <c r="I315" s="187">
        <v>289</v>
      </c>
    </row>
    <row r="316" spans="1:9" x14ac:dyDescent="0.25">
      <c r="A316">
        <v>290</v>
      </c>
      <c r="B316" s="75"/>
      <c r="C316" s="207"/>
      <c r="D316" s="207"/>
      <c r="E316" s="78"/>
      <c r="F316" s="78"/>
      <c r="G316" s="76"/>
      <c r="H316" s="75"/>
      <c r="I316" s="187">
        <v>290</v>
      </c>
    </row>
    <row r="317" spans="1:9" x14ac:dyDescent="0.25">
      <c r="A317">
        <v>291</v>
      </c>
      <c r="B317" s="75"/>
      <c r="C317" s="207"/>
      <c r="D317" s="207"/>
      <c r="E317" s="78"/>
      <c r="F317" s="78"/>
      <c r="G317" s="76"/>
      <c r="H317" s="75"/>
      <c r="I317" s="187">
        <v>291</v>
      </c>
    </row>
    <row r="318" spans="1:9" x14ac:dyDescent="0.25">
      <c r="A318">
        <v>292</v>
      </c>
      <c r="B318" s="75"/>
      <c r="C318" s="207"/>
      <c r="D318" s="207"/>
      <c r="E318" s="78"/>
      <c r="F318" s="78"/>
      <c r="G318" s="76"/>
      <c r="H318" s="75"/>
      <c r="I318" s="187">
        <v>292</v>
      </c>
    </row>
    <row r="319" spans="1:9" x14ac:dyDescent="0.25">
      <c r="A319">
        <v>293</v>
      </c>
      <c r="B319" s="75"/>
      <c r="C319" s="207"/>
      <c r="D319" s="207"/>
      <c r="E319" s="78"/>
      <c r="F319" s="78"/>
      <c r="G319" s="76"/>
      <c r="H319" s="75"/>
      <c r="I319" s="187">
        <v>293</v>
      </c>
    </row>
    <row r="320" spans="1:9" x14ac:dyDescent="0.25">
      <c r="A320">
        <v>294</v>
      </c>
      <c r="B320" s="75"/>
      <c r="C320" s="207"/>
      <c r="D320" s="207"/>
      <c r="E320" s="78"/>
      <c r="F320" s="78"/>
      <c r="G320" s="76"/>
      <c r="H320" s="75"/>
      <c r="I320" s="187">
        <v>294</v>
      </c>
    </row>
    <row r="321" spans="1:9" x14ac:dyDescent="0.25">
      <c r="A321">
        <v>295</v>
      </c>
      <c r="B321" s="75"/>
      <c r="C321" s="207"/>
      <c r="D321" s="207"/>
      <c r="E321" s="78"/>
      <c r="F321" s="78"/>
      <c r="G321" s="76"/>
      <c r="H321" s="75"/>
      <c r="I321" s="187">
        <v>295</v>
      </c>
    </row>
    <row r="322" spans="1:9" x14ac:dyDescent="0.25">
      <c r="A322">
        <v>296</v>
      </c>
      <c r="B322" s="75"/>
      <c r="C322" s="207"/>
      <c r="D322" s="207"/>
      <c r="E322" s="78"/>
      <c r="F322" s="78"/>
      <c r="G322" s="76"/>
      <c r="H322" s="75"/>
      <c r="I322" s="187">
        <v>296</v>
      </c>
    </row>
    <row r="323" spans="1:9" x14ac:dyDescent="0.25">
      <c r="A323">
        <v>297</v>
      </c>
      <c r="B323" s="75"/>
      <c r="C323" s="207"/>
      <c r="D323" s="207"/>
      <c r="E323" s="78"/>
      <c r="F323" s="78"/>
      <c r="G323" s="76"/>
      <c r="H323" s="75"/>
      <c r="I323" s="187">
        <v>297</v>
      </c>
    </row>
    <row r="324" spans="1:9" x14ac:dyDescent="0.25">
      <c r="A324">
        <v>298</v>
      </c>
      <c r="B324" s="75"/>
      <c r="C324" s="207"/>
      <c r="D324" s="207"/>
      <c r="E324" s="78"/>
      <c r="F324" s="78"/>
      <c r="G324" s="76"/>
      <c r="H324" s="75"/>
      <c r="I324" s="187">
        <v>298</v>
      </c>
    </row>
    <row r="325" spans="1:9" x14ac:dyDescent="0.25">
      <c r="A325">
        <v>299</v>
      </c>
      <c r="B325" s="75"/>
      <c r="C325" s="207"/>
      <c r="D325" s="207"/>
      <c r="E325" s="78"/>
      <c r="F325" s="78"/>
      <c r="G325" s="76"/>
      <c r="H325" s="75"/>
      <c r="I325" s="187">
        <v>299</v>
      </c>
    </row>
    <row r="326" spans="1:9" x14ac:dyDescent="0.25">
      <c r="A326">
        <v>300</v>
      </c>
      <c r="B326" s="75"/>
      <c r="C326" s="207"/>
      <c r="D326" s="207"/>
      <c r="E326" s="78"/>
      <c r="F326" s="78"/>
      <c r="G326" s="76"/>
      <c r="H326" s="75"/>
      <c r="I326" s="187">
        <v>300</v>
      </c>
    </row>
    <row r="327" spans="1:9" x14ac:dyDescent="0.25">
      <c r="A327">
        <v>301</v>
      </c>
      <c r="B327" s="75"/>
      <c r="C327" s="207"/>
      <c r="D327" s="207"/>
      <c r="E327" s="78"/>
      <c r="F327" s="78"/>
      <c r="G327" s="76"/>
      <c r="H327" s="75"/>
      <c r="I327" s="187">
        <v>301</v>
      </c>
    </row>
    <row r="328" spans="1:9" x14ac:dyDescent="0.25">
      <c r="A328">
        <v>302</v>
      </c>
      <c r="B328" s="75"/>
      <c r="C328" s="207"/>
      <c r="D328" s="207"/>
      <c r="E328" s="78"/>
      <c r="F328" s="78"/>
      <c r="G328" s="76"/>
      <c r="H328" s="75"/>
      <c r="I328" s="187">
        <v>302</v>
      </c>
    </row>
    <row r="329" spans="1:9" s="187" customFormat="1" x14ac:dyDescent="0.25">
      <c r="B329" s="215"/>
      <c r="C329" s="215"/>
      <c r="D329" s="216"/>
      <c r="E329" s="215"/>
      <c r="F329" s="215"/>
      <c r="G329" s="215"/>
      <c r="H329" s="215"/>
    </row>
  </sheetData>
  <sheetProtection password="CACB" sheet="1" scenarios="1" formatCells="0" formatColumns="0" formatRows="0" insertColumns="0" insertRows="0" insertHyperlinks="0" deleteColumns="0" deleteRows="0" sort="0" autoFilter="0" pivotTables="0"/>
  <autoFilter ref="B26:H26"/>
  <mergeCells count="2">
    <mergeCell ref="B23:C23"/>
    <mergeCell ref="B1:C1"/>
  </mergeCells>
  <dataValidations count="12">
    <dataValidation type="list" allowBlank="1" showInputMessage="1" showErrorMessage="1" sqref="G27:H328">
      <formula1>$G$2:$G$25</formula1>
    </dataValidation>
    <dataValidation allowBlank="1" showInputMessage="1" showErrorMessage="1" prompt="Missing instruction, Irrelevant instruction to be deleted." sqref="G5:H5"/>
    <dataValidation allowBlank="1" showInputMessage="1" showErrorMessage="1" prompt="Incorrect Feedback (CMW/ Post submission/ Explanation)" sqref="G6:H6"/>
    <dataValidation allowBlank="1" showInputMessage="1" showErrorMessage="1" prompt="Give-away to solve the answer. (Hints/Rollover/CMW)" sqref="G7:H7"/>
    <dataValidation allowBlank="1" showInputMessage="1" showErrorMessage="1" prompt="Duplicate or conflicting distractor, Dropdown option inconsistent with COA, Order of entry issue." sqref="G8:H8"/>
    <dataValidation allowBlank="1" showInputMessage="1" showErrorMessage="1" prompt="Issues generally observed in questions which are conceptually incorrect. e.g., values generated for the question in dataset/ connect." sqref="G2:H2"/>
    <dataValidation allowBlank="1" showInputMessage="1" showErrorMessage="1" prompt="Consistency for the set-ups, instruction, suffix for the entry fields, formats etc. throughout the chapter or project._x000a_Initial checker/Reviewer should check with the Reviewer/QA's on this." sqref="G9:H9"/>
    <dataValidation allowBlank="1" showInputMessage="1" showErrorMessage="1" prompt="Calculation issues due to incorrect linking which affects the computation." sqref="G3:H3"/>
    <dataValidation allowBlank="1" showInputMessage="1" showErrorMessage="1" prompt="Core consistency check with the text - question information which excludes rephrasing the requirement for online rendering." sqref="G4:H4"/>
    <dataValidation allowBlank="1" showInputMessage="1" showErrorMessage="1" prompt="JE tags for the same dates, descriptions, reference tab, requirement tags etc. " sqref="G10:H10"/>
    <dataValidation allowBlank="1" showInputMessage="1" showErrorMessage="1" prompt="Relates to the Journal entries." sqref="G11:H11"/>
    <dataValidation allowBlank="1" showInputMessage="1" showErrorMessage="1" prompt="Check on backend tool relating to - Acceptance of positive negative cells, gradable/nongradable, shuffle group, toggle group, Dropdown policy applied, check box etc." sqref="G14:H18"/>
  </dataValidations>
  <hyperlinks>
    <hyperlink ref="B1" location="'Reviewer''s report'!A1" tooltip="Reviewer's report" display="Reviewer's report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C325"/>
  <sheetViews>
    <sheetView showGridLines="0" showRowColHeaders="0" topLeftCell="B1" zoomScale="70" zoomScaleNormal="70" workbookViewId="0">
      <selection activeCell="E3" sqref="E3"/>
    </sheetView>
  </sheetViews>
  <sheetFormatPr defaultColWidth="0" defaultRowHeight="0" customHeight="1" zeroHeight="1" x14ac:dyDescent="0.25"/>
  <cols>
    <col min="1" max="1" width="7.5703125" style="237" hidden="1" customWidth="1"/>
    <col min="2" max="2" width="3.28515625" style="133" customWidth="1"/>
    <col min="3" max="3" width="10.28515625" style="129" customWidth="1"/>
    <col min="4" max="4" width="26.140625" style="129" bestFit="1" customWidth="1"/>
    <col min="5" max="5" width="32.42578125" style="129" customWidth="1"/>
    <col min="6" max="6" width="8" style="82" customWidth="1"/>
    <col min="7" max="7" width="4.7109375" style="82" customWidth="1"/>
    <col min="8" max="8" width="30.7109375" style="82" customWidth="1"/>
    <col min="9" max="9" width="4.7109375" style="82" customWidth="1"/>
    <col min="10" max="10" width="8" style="82" customWidth="1"/>
    <col min="11" max="11" width="28.7109375" style="82" customWidth="1"/>
    <col min="12" max="12" width="10.7109375" style="82" customWidth="1"/>
    <col min="13" max="14" width="8.5703125" style="82" customWidth="1"/>
    <col min="15" max="15" width="3.42578125" style="82" customWidth="1"/>
    <col min="16" max="35" width="3.28515625" style="125" customWidth="1"/>
    <col min="36" max="36" width="26.5703125" style="129" bestFit="1" customWidth="1"/>
    <col min="37" max="37" width="11.5703125" style="129" customWidth="1"/>
    <col min="38" max="38" width="14.7109375" style="140" customWidth="1"/>
    <col min="39" max="39" width="10.7109375" style="129" hidden="1" customWidth="1"/>
    <col min="40" max="40" width="3.28515625" style="129" hidden="1" customWidth="1"/>
    <col min="41" max="41" width="3.5703125" style="129" hidden="1" customWidth="1"/>
    <col min="42" max="42" width="6" style="129" hidden="1" customWidth="1"/>
    <col min="43" max="43" width="3.28515625" style="129" hidden="1" customWidth="1"/>
    <col min="44" max="44" width="8.5703125" style="129" hidden="1" customWidth="1"/>
    <col min="45" max="45" width="18.5703125" style="129" hidden="1" customWidth="1"/>
    <col min="46" max="46" width="24.7109375" style="129" hidden="1" customWidth="1"/>
    <col min="47" max="47" width="20.7109375" style="129" hidden="1" customWidth="1"/>
    <col min="48" max="49" width="9.140625" style="129" hidden="1" customWidth="1"/>
    <col min="50" max="50" width="5.42578125" style="129" hidden="1" customWidth="1"/>
    <col min="51" max="52" width="9.140625" style="129" hidden="1" customWidth="1"/>
    <col min="53" max="54" width="10.28515625" style="129" hidden="1" customWidth="1"/>
    <col min="55" max="55" width="9.5703125" style="129" hidden="1" customWidth="1"/>
    <col min="56" max="16384" width="9.140625" style="129" hidden="1"/>
  </cols>
  <sheetData>
    <row r="1" spans="1:55" s="133" customFormat="1" ht="16.5" thickBot="1" x14ac:dyDescent="0.3">
      <c r="A1" s="234">
        <f>E7</f>
        <v>0</v>
      </c>
      <c r="B1" s="148" t="s">
        <v>90</v>
      </c>
      <c r="C1" s="276" t="s">
        <v>63</v>
      </c>
      <c r="D1" s="276"/>
      <c r="F1" s="125"/>
      <c r="G1" s="125"/>
      <c r="H1" s="125"/>
      <c r="I1" s="125"/>
      <c r="J1" s="125"/>
      <c r="K1" s="125"/>
      <c r="L1" s="125"/>
      <c r="M1" s="125"/>
      <c r="N1" s="196" t="s">
        <v>65</v>
      </c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L1" s="134"/>
    </row>
    <row r="2" spans="1:55" ht="15.75" thickTop="1" x14ac:dyDescent="0.25">
      <c r="A2" s="235">
        <f>E6</f>
        <v>0</v>
      </c>
      <c r="B2" s="148" t="s">
        <v>90</v>
      </c>
      <c r="C2" s="162"/>
      <c r="D2" s="163"/>
      <c r="E2" s="163"/>
      <c r="F2" s="164"/>
      <c r="G2" s="164"/>
      <c r="H2" s="164"/>
      <c r="I2" s="164"/>
      <c r="J2" s="105"/>
      <c r="K2" s="105"/>
      <c r="L2" s="105"/>
      <c r="M2" s="105"/>
      <c r="N2" s="105"/>
      <c r="O2" s="106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200"/>
      <c r="AJ2" s="231" t="s">
        <v>99</v>
      </c>
      <c r="AK2" s="232" t="str">
        <f>IF(OR(E11=" ",SUM(AL7+AL9+AL13+AL26)=0),"100%",1-((SUM(AL7+AL9+AL13+AL26)/SUM(AK7+AK9+AK13+AK26))))</f>
        <v>100%</v>
      </c>
      <c r="AL2" s="228"/>
      <c r="AS2" s="129">
        <f>AX29</f>
        <v>24</v>
      </c>
      <c r="BB2" s="129" t="s">
        <v>52</v>
      </c>
    </row>
    <row r="3" spans="1:55" ht="15.75" x14ac:dyDescent="0.25">
      <c r="A3" s="236">
        <f>E5</f>
        <v>0</v>
      </c>
      <c r="B3" s="148" t="s">
        <v>90</v>
      </c>
      <c r="C3" s="165"/>
      <c r="D3" s="97" t="s">
        <v>0</v>
      </c>
      <c r="E3" s="189"/>
      <c r="F3" s="166"/>
      <c r="G3" s="284" t="s">
        <v>61</v>
      </c>
      <c r="H3" s="284"/>
      <c r="I3" s="284"/>
      <c r="J3" s="97"/>
      <c r="M3" s="97"/>
      <c r="N3" s="97"/>
      <c r="O3" s="107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8"/>
      <c r="AK3" s="133"/>
      <c r="AL3" s="134"/>
    </row>
    <row r="4" spans="1:55" ht="30" x14ac:dyDescent="0.25">
      <c r="A4" s="236">
        <f>E3</f>
        <v>0</v>
      </c>
      <c r="B4" s="148" t="s">
        <v>90</v>
      </c>
      <c r="C4" s="165"/>
      <c r="D4" s="97" t="s">
        <v>78</v>
      </c>
      <c r="E4" s="190"/>
      <c r="F4" s="166"/>
      <c r="G4" s="291" t="str">
        <f>IFERROR(AL29,"")</f>
        <v/>
      </c>
      <c r="H4" s="292"/>
      <c r="I4" s="293"/>
      <c r="M4" s="120"/>
      <c r="N4" s="97"/>
      <c r="O4" s="107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93"/>
      <c r="AJ4" s="93" t="s">
        <v>2</v>
      </c>
      <c r="AK4" s="94" t="s">
        <v>71</v>
      </c>
      <c r="AL4" s="94" t="s">
        <v>88</v>
      </c>
      <c r="AM4" s="130" t="s">
        <v>4</v>
      </c>
      <c r="AN4" s="131"/>
      <c r="AO4" s="131"/>
      <c r="AP4" s="93"/>
      <c r="AQ4" s="131"/>
      <c r="AR4" s="131"/>
      <c r="AS4" s="223" t="s">
        <v>5</v>
      </c>
      <c r="AT4" s="223" t="s">
        <v>6</v>
      </c>
      <c r="AU4" s="223" t="s">
        <v>7</v>
      </c>
      <c r="AV4" s="223"/>
      <c r="AW4" s="223"/>
      <c r="AX4" s="223"/>
      <c r="BB4" s="129" t="s">
        <v>52</v>
      </c>
      <c r="BC4" s="129" t="s">
        <v>58</v>
      </c>
    </row>
    <row r="5" spans="1:55" ht="15" x14ac:dyDescent="0.25">
      <c r="A5" s="236">
        <f>E4</f>
        <v>0</v>
      </c>
      <c r="B5" s="148" t="s">
        <v>90</v>
      </c>
      <c r="C5" s="165"/>
      <c r="D5" s="97" t="s">
        <v>12</v>
      </c>
      <c r="E5" s="229"/>
      <c r="F5" s="166"/>
      <c r="G5" s="294"/>
      <c r="H5" s="295"/>
      <c r="I5" s="296"/>
      <c r="J5" s="129"/>
      <c r="M5" s="167"/>
      <c r="N5" s="97"/>
      <c r="O5" s="107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217" t="s">
        <v>92</v>
      </c>
      <c r="AJ5" s="88" t="s">
        <v>9</v>
      </c>
      <c r="AK5" s="88">
        <f>AS5</f>
        <v>0</v>
      </c>
      <c r="AL5" s="89">
        <f>COUNTIF('AC Report-Final'!$G$27:$G$1048576,AJ5)</f>
        <v>0</v>
      </c>
      <c r="AM5" s="149">
        <v>5</v>
      </c>
      <c r="AN5" s="132">
        <f>AL5+AL6+AL7+AL8+AL9+AL13+AL14+AL17+AL23+AL18+AL19+AL20+AL21+AL27</f>
        <v>0</v>
      </c>
      <c r="AO5" s="150" t="str">
        <f>$B$1</f>
        <v xml:space="preserve"> </v>
      </c>
      <c r="AP5" s="151" t="e">
        <f>AM5*(100/$E$11)</f>
        <v>#DIV/0!</v>
      </c>
      <c r="AQ5" s="132" t="e">
        <f>AP5*AL5</f>
        <v>#DIV/0!</v>
      </c>
      <c r="AR5" s="152" t="e">
        <f t="shared" ref="AR5:AR14" si="0">(AL5/AK5)</f>
        <v>#DIV/0!</v>
      </c>
      <c r="AS5" s="89">
        <f>COUNTIF('AC Report-Final'!$H$27:$H$1048576,AJ5)</f>
        <v>0</v>
      </c>
      <c r="AT5" s="132">
        <f>AM5*AS5</f>
        <v>0</v>
      </c>
      <c r="AU5" s="132">
        <f>AL5*AM5</f>
        <v>0</v>
      </c>
      <c r="AV5" s="132"/>
      <c r="AW5" s="132"/>
      <c r="AX5" s="132" t="b">
        <f>AL5&lt;=AS5</f>
        <v>1</v>
      </c>
      <c r="BA5" s="129" t="s">
        <v>41</v>
      </c>
      <c r="BB5" s="129" t="s">
        <v>40</v>
      </c>
      <c r="BC5" s="129" t="s">
        <v>57</v>
      </c>
    </row>
    <row r="6" spans="1:55" ht="15" customHeight="1" x14ac:dyDescent="0.3">
      <c r="A6" s="236">
        <f>AL5</f>
        <v>0</v>
      </c>
      <c r="B6" s="148" t="s">
        <v>90</v>
      </c>
      <c r="C6" s="165"/>
      <c r="D6" s="97" t="s">
        <v>97</v>
      </c>
      <c r="E6" s="191"/>
      <c r="F6" s="166"/>
      <c r="G6" s="285" t="str">
        <f>IF(AND(G4&lt;=90%,G4&gt;70%,AL5=0,AL6=0,AL7=0),"Attention Required !",IF(AND(G4&lt;=95%,G4&gt;90%,AL5=0,AL6=0,AL7=0),"Keep it up !",IF(AND(G4&lt;100%,G4&gt;95%,AL5=0,AL6=0,AL7=0),"Just missed !",(IF(G4=100%,"Bravo !! ",IF(G4="","","High alert !"))))))</f>
        <v/>
      </c>
      <c r="H6" s="286"/>
      <c r="I6" s="287"/>
      <c r="J6" s="129"/>
      <c r="K6" s="275"/>
      <c r="L6" s="275"/>
      <c r="M6" s="168"/>
      <c r="N6" s="97"/>
      <c r="O6" s="169"/>
      <c r="AI6" s="219" t="s">
        <v>92</v>
      </c>
      <c r="AJ6" s="88" t="s">
        <v>11</v>
      </c>
      <c r="AK6" s="88">
        <f t="shared" ref="AK6:AK28" si="1">AS6</f>
        <v>0</v>
      </c>
      <c r="AL6" s="89">
        <f>COUNTIF('AC Report-Final'!$G$27:$G$1048576,AJ6)</f>
        <v>0</v>
      </c>
      <c r="AM6" s="149">
        <v>5</v>
      </c>
      <c r="AN6" s="132"/>
      <c r="AO6" s="150" t="str">
        <f t="shared" ref="AO6:AO28" si="2">$B$1</f>
        <v xml:space="preserve"> </v>
      </c>
      <c r="AP6" s="151" t="e">
        <f t="shared" ref="AP6:AP27" si="3">AM6*(100/$E$11)</f>
        <v>#DIV/0!</v>
      </c>
      <c r="AQ6" s="132" t="e">
        <f t="shared" ref="AQ6:AQ28" si="4">AP6*AL6</f>
        <v>#DIV/0!</v>
      </c>
      <c r="AR6" s="152" t="e">
        <f t="shared" si="0"/>
        <v>#DIV/0!</v>
      </c>
      <c r="AS6" s="89">
        <f>COUNTIF('AC Report-Final'!$H$27:$H$1048576,AJ6)</f>
        <v>0</v>
      </c>
      <c r="AT6" s="132">
        <f t="shared" ref="AT6:AT28" si="5">AM6*AS6</f>
        <v>0</v>
      </c>
      <c r="AU6" s="132">
        <f t="shared" ref="AU6:AU28" si="6">AL6*AM6</f>
        <v>0</v>
      </c>
      <c r="AV6" s="132"/>
      <c r="AW6" s="132"/>
      <c r="AX6" s="132" t="b">
        <f t="shared" ref="AX6:AX28" si="7">AL6&lt;=AS6</f>
        <v>1</v>
      </c>
      <c r="BA6" s="129" t="s">
        <v>47</v>
      </c>
      <c r="BB6" s="129" t="s">
        <v>42</v>
      </c>
      <c r="BC6" s="129" t="s">
        <v>56</v>
      </c>
    </row>
    <row r="7" spans="1:55" ht="15.75" customHeight="1" x14ac:dyDescent="0.25">
      <c r="A7" s="236">
        <f t="shared" ref="A7:A29" si="8">AL6</f>
        <v>0</v>
      </c>
      <c r="B7" s="148" t="s">
        <v>90</v>
      </c>
      <c r="C7" s="165"/>
      <c r="D7" s="97" t="s">
        <v>100</v>
      </c>
      <c r="E7" s="233"/>
      <c r="F7" s="166"/>
      <c r="G7" s="288"/>
      <c r="H7" s="288"/>
      <c r="I7" s="288"/>
      <c r="J7" s="129"/>
      <c r="K7" s="240"/>
      <c r="L7" s="240"/>
      <c r="M7" s="168"/>
      <c r="N7" s="97"/>
      <c r="O7" s="169"/>
      <c r="AI7" s="219" t="s">
        <v>92</v>
      </c>
      <c r="AJ7" s="88" t="s">
        <v>13</v>
      </c>
      <c r="AK7" s="88">
        <f t="shared" si="1"/>
        <v>0</v>
      </c>
      <c r="AL7" s="89">
        <f>COUNTIF('AC Report-Final'!$G$27:$G$1048576,AJ7)</f>
        <v>0</v>
      </c>
      <c r="AM7" s="149">
        <v>3</v>
      </c>
      <c r="AN7" s="132"/>
      <c r="AO7" s="150" t="str">
        <f t="shared" si="2"/>
        <v xml:space="preserve"> </v>
      </c>
      <c r="AP7" s="151" t="e">
        <f t="shared" si="3"/>
        <v>#DIV/0!</v>
      </c>
      <c r="AQ7" s="132" t="e">
        <f t="shared" si="4"/>
        <v>#DIV/0!</v>
      </c>
      <c r="AR7" s="152" t="e">
        <f t="shared" si="0"/>
        <v>#DIV/0!</v>
      </c>
      <c r="AS7" s="89">
        <f>COUNTIF('AC Report-Final'!$H$27:$H$1048576,AJ7)</f>
        <v>0</v>
      </c>
      <c r="AT7" s="132">
        <f t="shared" si="5"/>
        <v>0</v>
      </c>
      <c r="AU7" s="132">
        <f t="shared" si="6"/>
        <v>0</v>
      </c>
      <c r="AV7" s="132"/>
      <c r="AW7" s="132"/>
      <c r="AX7" s="132" t="b">
        <f t="shared" si="7"/>
        <v>1</v>
      </c>
      <c r="BA7" s="129" t="s">
        <v>48</v>
      </c>
      <c r="BB7" s="129" t="s">
        <v>43</v>
      </c>
      <c r="BC7" s="129" t="s">
        <v>59</v>
      </c>
    </row>
    <row r="8" spans="1:55" ht="15" customHeight="1" x14ac:dyDescent="0.25">
      <c r="A8" s="236">
        <f t="shared" si="8"/>
        <v>0</v>
      </c>
      <c r="B8" s="148" t="s">
        <v>90</v>
      </c>
      <c r="C8" s="165"/>
      <c r="D8" s="97"/>
      <c r="E8" s="159"/>
      <c r="F8" s="166"/>
      <c r="G8" s="297" t="str">
        <f>IFERROR(BB14,"")</f>
        <v>★★★★★</v>
      </c>
      <c r="H8" s="298"/>
      <c r="I8" s="299"/>
      <c r="J8" s="129"/>
      <c r="K8" s="309" t="str">
        <f>IF(AX29=24,"","ERROR!!")</f>
        <v/>
      </c>
      <c r="L8" s="309"/>
      <c r="M8" s="168"/>
      <c r="N8" s="97"/>
      <c r="O8" s="169"/>
      <c r="AI8" s="219" t="s">
        <v>92</v>
      </c>
      <c r="AJ8" s="88" t="s">
        <v>15</v>
      </c>
      <c r="AK8" s="88">
        <f t="shared" si="1"/>
        <v>0</v>
      </c>
      <c r="AL8" s="89">
        <f>COUNTIF('AC Report-Final'!$G$27:$G$1048576,AJ8)</f>
        <v>0</v>
      </c>
      <c r="AM8" s="149">
        <v>1</v>
      </c>
      <c r="AN8" s="132"/>
      <c r="AO8" s="150" t="str">
        <f t="shared" si="2"/>
        <v xml:space="preserve"> </v>
      </c>
      <c r="AP8" s="151" t="e">
        <f t="shared" si="3"/>
        <v>#DIV/0!</v>
      </c>
      <c r="AQ8" s="132" t="e">
        <f t="shared" si="4"/>
        <v>#DIV/0!</v>
      </c>
      <c r="AR8" s="152" t="e">
        <f t="shared" si="0"/>
        <v>#DIV/0!</v>
      </c>
      <c r="AS8" s="89">
        <f>COUNTIF('AC Report-Final'!$H$27:$H$1048576,AJ8)</f>
        <v>0</v>
      </c>
      <c r="AT8" s="132">
        <f t="shared" si="5"/>
        <v>0</v>
      </c>
      <c r="AU8" s="132">
        <f t="shared" si="6"/>
        <v>0</v>
      </c>
      <c r="AV8" s="132"/>
      <c r="AW8" s="132"/>
      <c r="AX8" s="132" t="b">
        <f t="shared" si="7"/>
        <v>1</v>
      </c>
      <c r="BA8" s="129" t="s">
        <v>49</v>
      </c>
      <c r="BB8" s="129" t="s">
        <v>44</v>
      </c>
      <c r="BC8" s="129" t="s">
        <v>60</v>
      </c>
    </row>
    <row r="9" spans="1:55" ht="15" customHeight="1" x14ac:dyDescent="0.25">
      <c r="A9" s="236">
        <f t="shared" si="8"/>
        <v>0</v>
      </c>
      <c r="B9" s="148" t="s">
        <v>90</v>
      </c>
      <c r="C9" s="165"/>
      <c r="D9" s="97"/>
      <c r="E9" s="167"/>
      <c r="F9" s="166"/>
      <c r="G9" s="300"/>
      <c r="H9" s="301"/>
      <c r="I9" s="302"/>
      <c r="J9" s="129"/>
      <c r="K9" s="309"/>
      <c r="L9" s="309"/>
      <c r="M9" s="168"/>
      <c r="N9" s="97"/>
      <c r="O9" s="169"/>
      <c r="AI9" s="219" t="s">
        <v>92</v>
      </c>
      <c r="AJ9" s="88" t="s">
        <v>16</v>
      </c>
      <c r="AK9" s="88">
        <f t="shared" si="1"/>
        <v>0</v>
      </c>
      <c r="AL9" s="89">
        <f>COUNTIF('AC Report-Final'!$G$27:$G$1048576,AJ9)</f>
        <v>0</v>
      </c>
      <c r="AM9" s="149">
        <v>2</v>
      </c>
      <c r="AN9" s="132"/>
      <c r="AO9" s="150" t="str">
        <f t="shared" si="2"/>
        <v xml:space="preserve"> </v>
      </c>
      <c r="AP9" s="151" t="e">
        <f t="shared" si="3"/>
        <v>#DIV/0!</v>
      </c>
      <c r="AQ9" s="132" t="e">
        <f t="shared" si="4"/>
        <v>#DIV/0!</v>
      </c>
      <c r="AR9" s="152" t="e">
        <f t="shared" si="0"/>
        <v>#DIV/0!</v>
      </c>
      <c r="AS9" s="89">
        <f>COUNTIF('AC Report-Final'!$H$27:$H$1048576,AJ9)</f>
        <v>0</v>
      </c>
      <c r="AT9" s="132">
        <f t="shared" si="5"/>
        <v>0</v>
      </c>
      <c r="AU9" s="132">
        <f t="shared" si="6"/>
        <v>0</v>
      </c>
      <c r="AV9" s="132"/>
      <c r="AW9" s="132"/>
      <c r="AX9" s="132" t="b">
        <f t="shared" si="7"/>
        <v>1</v>
      </c>
      <c r="BA9" s="129" t="s">
        <v>50</v>
      </c>
      <c r="BB9" s="129" t="s">
        <v>55</v>
      </c>
      <c r="BC9" s="129" t="s">
        <v>54</v>
      </c>
    </row>
    <row r="10" spans="1:55" ht="15.75" customHeight="1" x14ac:dyDescent="0.25">
      <c r="A10" s="236">
        <f t="shared" si="8"/>
        <v>0</v>
      </c>
      <c r="B10" s="148" t="s">
        <v>90</v>
      </c>
      <c r="C10" s="165"/>
      <c r="D10" s="97"/>
      <c r="E10" s="167"/>
      <c r="F10" s="166"/>
      <c r="G10" s="289"/>
      <c r="H10" s="289"/>
      <c r="I10" s="289"/>
      <c r="J10" s="129"/>
      <c r="M10" s="168"/>
      <c r="N10" s="97"/>
      <c r="O10" s="169"/>
      <c r="AI10" s="219" t="s">
        <v>94</v>
      </c>
      <c r="AJ10" s="88" t="s">
        <v>17</v>
      </c>
      <c r="AK10" s="88">
        <f t="shared" si="1"/>
        <v>0</v>
      </c>
      <c r="AL10" s="89">
        <f>COUNTIF('AC Report-Final'!$G$27:$G$1048576,AJ10)</f>
        <v>0</v>
      </c>
      <c r="AM10" s="149">
        <v>1</v>
      </c>
      <c r="AN10" s="132"/>
      <c r="AO10" s="150" t="str">
        <f t="shared" si="2"/>
        <v xml:space="preserve"> </v>
      </c>
      <c r="AP10" s="151" t="e">
        <f t="shared" si="3"/>
        <v>#DIV/0!</v>
      </c>
      <c r="AQ10" s="132" t="e">
        <f t="shared" si="4"/>
        <v>#DIV/0!</v>
      </c>
      <c r="AR10" s="152" t="e">
        <f t="shared" si="0"/>
        <v>#DIV/0!</v>
      </c>
      <c r="AS10" s="89">
        <f>COUNTIF('AC Report-Final'!$H$27:$H$1048576,AJ10)</f>
        <v>0</v>
      </c>
      <c r="AT10" s="132">
        <f t="shared" si="5"/>
        <v>0</v>
      </c>
      <c r="AU10" s="132">
        <f t="shared" si="6"/>
        <v>0</v>
      </c>
      <c r="AV10" s="132"/>
      <c r="AW10" s="132"/>
      <c r="AX10" s="132" t="b">
        <f t="shared" si="7"/>
        <v>1</v>
      </c>
    </row>
    <row r="11" spans="1:55" ht="18.95" customHeight="1" x14ac:dyDescent="0.25">
      <c r="A11" s="236">
        <f t="shared" si="8"/>
        <v>0</v>
      </c>
      <c r="B11" s="148" t="s">
        <v>90</v>
      </c>
      <c r="C11" s="165"/>
      <c r="D11" s="170" t="s">
        <v>79</v>
      </c>
      <c r="E11" s="192"/>
      <c r="F11" s="168"/>
      <c r="G11" s="290" t="s">
        <v>62</v>
      </c>
      <c r="H11" s="290"/>
      <c r="I11" s="290"/>
      <c r="J11" s="129"/>
      <c r="K11" s="193" t="s">
        <v>76</v>
      </c>
      <c r="L11" s="197"/>
      <c r="M11" s="168"/>
      <c r="N11" s="97"/>
      <c r="O11" s="169"/>
      <c r="AI11" s="219" t="s">
        <v>94</v>
      </c>
      <c r="AJ11" s="88" t="s">
        <v>18</v>
      </c>
      <c r="AK11" s="88">
        <f t="shared" si="1"/>
        <v>0</v>
      </c>
      <c r="AL11" s="89">
        <f>COUNTIF('AC Report-Final'!$G$27:$G$1048576,AJ11)</f>
        <v>0</v>
      </c>
      <c r="AM11" s="149">
        <v>0.5</v>
      </c>
      <c r="AN11" s="132"/>
      <c r="AO11" s="150" t="str">
        <f t="shared" si="2"/>
        <v xml:space="preserve"> </v>
      </c>
      <c r="AP11" s="151" t="e">
        <f t="shared" si="3"/>
        <v>#DIV/0!</v>
      </c>
      <c r="AQ11" s="132" t="e">
        <f t="shared" si="4"/>
        <v>#DIV/0!</v>
      </c>
      <c r="AR11" s="152" t="e">
        <f t="shared" si="0"/>
        <v>#DIV/0!</v>
      </c>
      <c r="AS11" s="89">
        <f>COUNTIF('AC Report-Final'!$H$27:$H$1048576,AJ11)</f>
        <v>0</v>
      </c>
      <c r="AT11" s="132">
        <f t="shared" si="5"/>
        <v>0</v>
      </c>
      <c r="AU11" s="132">
        <f t="shared" si="6"/>
        <v>0</v>
      </c>
      <c r="AV11" s="132"/>
      <c r="AW11" s="132"/>
      <c r="AX11" s="132" t="b">
        <f t="shared" si="7"/>
        <v>1</v>
      </c>
      <c r="BB11" s="129" t="s">
        <v>45</v>
      </c>
      <c r="BC11" s="153" t="s">
        <v>46</v>
      </c>
    </row>
    <row r="12" spans="1:55" ht="18.75" x14ac:dyDescent="0.25">
      <c r="A12" s="236">
        <f t="shared" si="8"/>
        <v>0</v>
      </c>
      <c r="B12" s="148" t="s">
        <v>90</v>
      </c>
      <c r="C12" s="171"/>
      <c r="D12" s="170" t="s">
        <v>66</v>
      </c>
      <c r="E12" s="224">
        <f>SUM($AK$5:$AK$28)</f>
        <v>0</v>
      </c>
      <c r="G12" s="303" t="str">
        <f>IF(AN5&lt;=0,"★","")</f>
        <v>★</v>
      </c>
      <c r="H12" s="282" t="str">
        <f>IF(AN5&lt;=0,"Accomplished","See below")</f>
        <v>Accomplished</v>
      </c>
      <c r="I12" s="305" t="str">
        <f>IF(AN5&lt;=0,"★","")</f>
        <v>★</v>
      </c>
      <c r="J12" s="129"/>
      <c r="K12" s="195" t="s">
        <v>77</v>
      </c>
      <c r="L12" s="198"/>
      <c r="M12" s="129"/>
      <c r="N12" s="97"/>
      <c r="O12" s="99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122"/>
      <c r="AI12" s="220" t="s">
        <v>94</v>
      </c>
      <c r="AJ12" s="88" t="s">
        <v>22</v>
      </c>
      <c r="AK12" s="88">
        <f t="shared" si="1"/>
        <v>0</v>
      </c>
      <c r="AL12" s="89">
        <f>COUNTIF('AC Report-Final'!$G$27:$G$1048576,AJ12)</f>
        <v>0</v>
      </c>
      <c r="AM12" s="149">
        <v>0.25</v>
      </c>
      <c r="AN12" s="132"/>
      <c r="AO12" s="150" t="str">
        <f t="shared" si="2"/>
        <v xml:space="preserve"> </v>
      </c>
      <c r="AP12" s="151" t="e">
        <f t="shared" si="3"/>
        <v>#DIV/0!</v>
      </c>
      <c r="AQ12" s="132" t="e">
        <f t="shared" si="4"/>
        <v>#DIV/0!</v>
      </c>
      <c r="AR12" s="152" t="e">
        <f t="shared" si="0"/>
        <v>#DIV/0!</v>
      </c>
      <c r="AS12" s="89">
        <f>COUNTIF('AC Report-Final'!$H$27:$H$1048576,AJ12)</f>
        <v>0</v>
      </c>
      <c r="AT12" s="132">
        <f t="shared" si="5"/>
        <v>0</v>
      </c>
      <c r="AU12" s="132">
        <f t="shared" si="6"/>
        <v>0</v>
      </c>
      <c r="AV12" s="132"/>
      <c r="AW12" s="132"/>
      <c r="AX12" s="132" t="b">
        <f t="shared" si="7"/>
        <v>1</v>
      </c>
      <c r="BB12" s="129" t="s">
        <v>53</v>
      </c>
    </row>
    <row r="13" spans="1:55" ht="31.7" customHeight="1" x14ac:dyDescent="0.25">
      <c r="A13" s="236">
        <f t="shared" si="8"/>
        <v>0</v>
      </c>
      <c r="B13" s="148" t="s">
        <v>90</v>
      </c>
      <c r="C13" s="171"/>
      <c r="D13" s="170" t="s">
        <v>75</v>
      </c>
      <c r="E13" s="224">
        <f>SUM('AC Report-Final'!$D$27:$D$328)</f>
        <v>0</v>
      </c>
      <c r="G13" s="304"/>
      <c r="H13" s="283"/>
      <c r="I13" s="306"/>
      <c r="J13" s="129"/>
      <c r="K13" s="194" t="s">
        <v>101</v>
      </c>
      <c r="L13" s="226" t="str">
        <f>IFERROR(IF(1-((L12-L11)/L11)&gt;0,1-((L12-L11)/L11),0),"")</f>
        <v/>
      </c>
      <c r="M13" s="129"/>
      <c r="N13" s="97"/>
      <c r="O13" s="100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218" t="s">
        <v>92</v>
      </c>
      <c r="AJ13" s="88" t="s">
        <v>24</v>
      </c>
      <c r="AK13" s="88">
        <f t="shared" si="1"/>
        <v>0</v>
      </c>
      <c r="AL13" s="89">
        <f>COUNTIF('AC Report-Final'!$G$27:$G$1048576,AJ13)</f>
        <v>0</v>
      </c>
      <c r="AM13" s="149">
        <v>1</v>
      </c>
      <c r="AN13" s="132"/>
      <c r="AO13" s="150" t="str">
        <f t="shared" si="2"/>
        <v xml:space="preserve"> </v>
      </c>
      <c r="AP13" s="151" t="e">
        <f t="shared" si="3"/>
        <v>#DIV/0!</v>
      </c>
      <c r="AQ13" s="132" t="e">
        <f t="shared" si="4"/>
        <v>#DIV/0!</v>
      </c>
      <c r="AR13" s="152" t="e">
        <f t="shared" si="0"/>
        <v>#DIV/0!</v>
      </c>
      <c r="AS13" s="89">
        <f>COUNTIF('AC Report-Final'!$H$27:$H$1048576,AJ13)</f>
        <v>0</v>
      </c>
      <c r="AT13" s="132">
        <f t="shared" si="5"/>
        <v>0</v>
      </c>
      <c r="AU13" s="132">
        <f t="shared" si="6"/>
        <v>0</v>
      </c>
      <c r="AV13" s="132"/>
      <c r="AW13" s="132"/>
      <c r="AX13" s="132" t="b">
        <f t="shared" si="7"/>
        <v>1</v>
      </c>
    </row>
    <row r="14" spans="1:55" ht="15" x14ac:dyDescent="0.25">
      <c r="A14" s="236">
        <f t="shared" si="8"/>
        <v>0</v>
      </c>
      <c r="B14" s="148" t="s">
        <v>90</v>
      </c>
      <c r="C14" s="171"/>
      <c r="H14" s="213"/>
      <c r="I14" s="213"/>
      <c r="J14" s="129"/>
      <c r="K14" s="129"/>
      <c r="L14" s="129"/>
      <c r="M14" s="129"/>
      <c r="N14" s="92"/>
      <c r="O14" s="101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219" t="s">
        <v>92</v>
      </c>
      <c r="AJ14" s="88" t="s">
        <v>26</v>
      </c>
      <c r="AK14" s="88">
        <f t="shared" si="1"/>
        <v>0</v>
      </c>
      <c r="AL14" s="89">
        <f>COUNTIF('AC Report-Final'!$G$27:$G$1048576,AJ14)</f>
        <v>0</v>
      </c>
      <c r="AM14" s="149">
        <v>1</v>
      </c>
      <c r="AN14" s="132"/>
      <c r="AO14" s="150" t="str">
        <f t="shared" si="2"/>
        <v xml:space="preserve"> </v>
      </c>
      <c r="AP14" s="151" t="e">
        <f t="shared" si="3"/>
        <v>#DIV/0!</v>
      </c>
      <c r="AQ14" s="132" t="e">
        <f t="shared" si="4"/>
        <v>#DIV/0!</v>
      </c>
      <c r="AR14" s="152" t="e">
        <f t="shared" si="0"/>
        <v>#DIV/0!</v>
      </c>
      <c r="AS14" s="89">
        <f>COUNTIF('AC Report-Final'!$H$27:$H$1048576,AJ14)</f>
        <v>0</v>
      </c>
      <c r="AT14" s="132">
        <f t="shared" si="5"/>
        <v>0</v>
      </c>
      <c r="AU14" s="132">
        <f t="shared" si="6"/>
        <v>0</v>
      </c>
      <c r="AV14" s="132"/>
      <c r="AW14" s="132"/>
      <c r="AX14" s="132" t="b">
        <f t="shared" si="7"/>
        <v>1</v>
      </c>
      <c r="BB14" s="129" t="str">
        <f>IF(AS29=1,BB11,IF(AND(AS29&gt;0.95,AS29&lt;1),BB9,IF(AND(AS29&gt;=0.85,AS29&lt;=95),BB8,IF(AND(AS29&gt;=0.7,AS29&lt;0.85),BB7,IF(AND(AS29&gt;=0.5,AS29&lt;0.7),BB6,IF(AND(AS29&gt;=0.35,AS29&lt;50),BB5,"☠"))))))</f>
        <v>★★★★★</v>
      </c>
    </row>
    <row r="15" spans="1:55" ht="15" x14ac:dyDescent="0.25">
      <c r="A15" s="236">
        <f t="shared" si="8"/>
        <v>0</v>
      </c>
      <c r="B15" s="148" t="s">
        <v>90</v>
      </c>
      <c r="C15" s="171"/>
      <c r="D15" s="173"/>
      <c r="E15" s="277"/>
      <c r="F15" s="278"/>
      <c r="G15" s="213"/>
      <c r="H15" s="213"/>
      <c r="I15" s="213"/>
      <c r="J15" s="129"/>
      <c r="K15" s="129"/>
      <c r="L15" s="92"/>
      <c r="M15" s="92"/>
      <c r="N15" s="92"/>
      <c r="O15" s="101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219" t="s">
        <v>93</v>
      </c>
      <c r="AJ15" s="88" t="s">
        <v>28</v>
      </c>
      <c r="AK15" s="88">
        <f t="shared" si="1"/>
        <v>0</v>
      </c>
      <c r="AL15" s="89">
        <f>COUNTIF('AC Report-Final'!$G$27:$G$1048576,AJ15)</f>
        <v>0</v>
      </c>
      <c r="AM15" s="149">
        <v>0.25</v>
      </c>
      <c r="AN15" s="132"/>
      <c r="AO15" s="150" t="str">
        <f t="shared" si="2"/>
        <v xml:space="preserve"> </v>
      </c>
      <c r="AP15" s="151" t="e">
        <f t="shared" si="3"/>
        <v>#DIV/0!</v>
      </c>
      <c r="AQ15" s="132" t="e">
        <f t="shared" si="4"/>
        <v>#DIV/0!</v>
      </c>
      <c r="AR15" s="152" t="e">
        <f>(AL15/AK15)</f>
        <v>#DIV/0!</v>
      </c>
      <c r="AS15" s="89">
        <f>COUNTIF('AC Report-Final'!$H$27:$H$1048576,AJ15)</f>
        <v>0</v>
      </c>
      <c r="AT15" s="132">
        <f t="shared" si="5"/>
        <v>0</v>
      </c>
      <c r="AU15" s="132">
        <f t="shared" si="6"/>
        <v>0</v>
      </c>
      <c r="AV15" s="132"/>
      <c r="AW15" s="132"/>
      <c r="AX15" s="132" t="b">
        <f t="shared" si="7"/>
        <v>1</v>
      </c>
    </row>
    <row r="16" spans="1:55" ht="15" x14ac:dyDescent="0.25">
      <c r="A16" s="236">
        <f t="shared" si="8"/>
        <v>0</v>
      </c>
      <c r="B16" s="148" t="s">
        <v>90</v>
      </c>
      <c r="C16" s="171"/>
      <c r="D16" s="173"/>
      <c r="O16" s="102"/>
      <c r="AI16" s="219" t="s">
        <v>93</v>
      </c>
      <c r="AJ16" s="88" t="s">
        <v>29</v>
      </c>
      <c r="AK16" s="88">
        <f t="shared" si="1"/>
        <v>0</v>
      </c>
      <c r="AL16" s="89">
        <f>COUNTIF('AC Report-Final'!$G$27:$G$1048576,AJ16)</f>
        <v>0</v>
      </c>
      <c r="AM16" s="149">
        <v>0.05</v>
      </c>
      <c r="AN16" s="132"/>
      <c r="AO16" s="150" t="str">
        <f t="shared" si="2"/>
        <v xml:space="preserve"> </v>
      </c>
      <c r="AP16" s="151" t="e">
        <f t="shared" si="3"/>
        <v>#DIV/0!</v>
      </c>
      <c r="AQ16" s="132" t="e">
        <f t="shared" si="4"/>
        <v>#DIV/0!</v>
      </c>
      <c r="AR16" s="152" t="e">
        <f t="shared" ref="AR16:AR28" si="9">(AL16/AK16)</f>
        <v>#DIV/0!</v>
      </c>
      <c r="AS16" s="89">
        <f>COUNTIF('AC Report-Final'!$H$27:$H$1048576,AJ16)</f>
        <v>0</v>
      </c>
      <c r="AT16" s="132">
        <f>AM16*AS16</f>
        <v>0</v>
      </c>
      <c r="AU16" s="132">
        <f t="shared" si="6"/>
        <v>0</v>
      </c>
      <c r="AV16" s="132"/>
      <c r="AW16" s="132"/>
      <c r="AX16" s="132" t="b">
        <f t="shared" si="7"/>
        <v>1</v>
      </c>
      <c r="BB16" s="129" t="e">
        <f>IF(AW36=1,BB11,IF(AND(AW36&gt;0.95,AW36&lt;1),BB9,IF(AND(AW36&gt;=0.85,AW36&lt;=95),BB8,IF(AND(AW36&gt;=0.7,AW36&lt;0.85),BB7,IF(AND(AW36&gt;=0.5,AW36&lt;0.7),BB6,IF(AND(AW36&gt;=0.35,AW36&lt;50),BB5,"☠"))))))</f>
        <v>#DIV/0!</v>
      </c>
    </row>
    <row r="17" spans="1:54" ht="15" x14ac:dyDescent="0.25">
      <c r="A17" s="236">
        <f t="shared" si="8"/>
        <v>0</v>
      </c>
      <c r="B17" s="148" t="s">
        <v>90</v>
      </c>
      <c r="C17" s="171"/>
      <c r="D17" s="173"/>
      <c r="E17" s="174"/>
      <c r="J17" s="129"/>
      <c r="K17" s="175"/>
      <c r="L17" s="175"/>
      <c r="M17" s="175"/>
      <c r="N17" s="175"/>
      <c r="O17" s="176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221" t="s">
        <v>92</v>
      </c>
      <c r="AJ17" s="88" t="s">
        <v>83</v>
      </c>
      <c r="AK17" s="88">
        <f t="shared" si="1"/>
        <v>0</v>
      </c>
      <c r="AL17" s="89">
        <f>COUNTIF('AC Report-Final'!$G$27:$G$1048576,AJ17)</f>
        <v>0</v>
      </c>
      <c r="AM17" s="149">
        <v>0.5</v>
      </c>
      <c r="AN17" s="132"/>
      <c r="AO17" s="150" t="str">
        <f t="shared" si="2"/>
        <v xml:space="preserve"> </v>
      </c>
      <c r="AP17" s="151" t="e">
        <f t="shared" si="3"/>
        <v>#DIV/0!</v>
      </c>
      <c r="AQ17" s="132" t="e">
        <f t="shared" si="4"/>
        <v>#DIV/0!</v>
      </c>
      <c r="AR17" s="152" t="e">
        <f t="shared" si="9"/>
        <v>#DIV/0!</v>
      </c>
      <c r="AS17" s="89">
        <f>COUNTIF('AC Report-Final'!$H$27:$H$1048576,AJ17)</f>
        <v>0</v>
      </c>
      <c r="AT17" s="132">
        <f t="shared" si="5"/>
        <v>0</v>
      </c>
      <c r="AU17" s="132">
        <f t="shared" si="6"/>
        <v>0</v>
      </c>
      <c r="AV17" s="132"/>
      <c r="AW17" s="132"/>
      <c r="AX17" s="132" t="b">
        <f t="shared" si="7"/>
        <v>1</v>
      </c>
    </row>
    <row r="18" spans="1:54" ht="15" x14ac:dyDescent="0.25">
      <c r="A18" s="236">
        <f t="shared" si="8"/>
        <v>0</v>
      </c>
      <c r="B18" s="148" t="s">
        <v>90</v>
      </c>
      <c r="C18" s="171"/>
      <c r="D18" s="173"/>
      <c r="E18" s="174"/>
      <c r="J18" s="129"/>
      <c r="K18" s="175"/>
      <c r="L18" s="175"/>
      <c r="M18" s="175"/>
      <c r="N18" s="175"/>
      <c r="O18" s="176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221" t="s">
        <v>92</v>
      </c>
      <c r="AJ18" s="88" t="s">
        <v>84</v>
      </c>
      <c r="AK18" s="88">
        <f t="shared" si="1"/>
        <v>0</v>
      </c>
      <c r="AL18" s="89">
        <f>COUNTIF('AC Report-Final'!$G$27:$G$1048576,AJ18)</f>
        <v>0</v>
      </c>
      <c r="AM18" s="149">
        <v>0.5</v>
      </c>
      <c r="AN18" s="132"/>
      <c r="AO18" s="150" t="str">
        <f t="shared" si="2"/>
        <v xml:space="preserve"> </v>
      </c>
      <c r="AP18" s="151" t="e">
        <f t="shared" si="3"/>
        <v>#DIV/0!</v>
      </c>
      <c r="AQ18" s="132" t="e">
        <f t="shared" si="4"/>
        <v>#DIV/0!</v>
      </c>
      <c r="AR18" s="152" t="e">
        <f t="shared" si="9"/>
        <v>#DIV/0!</v>
      </c>
      <c r="AS18" s="89">
        <f>COUNTIF('AC Report-Final'!$H$27:$H$1048576,AJ18)</f>
        <v>0</v>
      </c>
      <c r="AT18" s="132">
        <f t="shared" si="5"/>
        <v>0</v>
      </c>
      <c r="AU18" s="132">
        <f t="shared" si="6"/>
        <v>0</v>
      </c>
      <c r="AV18" s="132"/>
      <c r="AW18" s="132"/>
      <c r="AX18" s="132" t="b">
        <f t="shared" si="7"/>
        <v>1</v>
      </c>
    </row>
    <row r="19" spans="1:54" ht="15" x14ac:dyDescent="0.25">
      <c r="A19" s="236">
        <f t="shared" si="8"/>
        <v>0</v>
      </c>
      <c r="B19" s="148" t="s">
        <v>90</v>
      </c>
      <c r="C19" s="171"/>
      <c r="D19" s="173"/>
      <c r="E19" s="174"/>
      <c r="J19" s="129"/>
      <c r="K19" s="175"/>
      <c r="L19" s="175"/>
      <c r="M19" s="175"/>
      <c r="N19" s="175"/>
      <c r="O19" s="176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/>
      <c r="AD19" s="135"/>
      <c r="AE19" s="135"/>
      <c r="AF19" s="135"/>
      <c r="AG19" s="135"/>
      <c r="AH19" s="135"/>
      <c r="AI19" s="221" t="s">
        <v>92</v>
      </c>
      <c r="AJ19" s="88" t="s">
        <v>85</v>
      </c>
      <c r="AK19" s="88">
        <f t="shared" si="1"/>
        <v>0</v>
      </c>
      <c r="AL19" s="89">
        <f>COUNTIF('AC Report-Final'!$G$27:$G$1048576,AJ19)</f>
        <v>0</v>
      </c>
      <c r="AM19" s="149">
        <v>0.5</v>
      </c>
      <c r="AN19" s="132"/>
      <c r="AO19" s="150" t="str">
        <f t="shared" si="2"/>
        <v xml:space="preserve"> </v>
      </c>
      <c r="AP19" s="151" t="e">
        <f t="shared" si="3"/>
        <v>#DIV/0!</v>
      </c>
      <c r="AQ19" s="132" t="e">
        <f t="shared" si="4"/>
        <v>#DIV/0!</v>
      </c>
      <c r="AR19" s="152" t="e">
        <f t="shared" si="9"/>
        <v>#DIV/0!</v>
      </c>
      <c r="AS19" s="89">
        <f>COUNTIF('AC Report-Final'!$H$27:$H$1048576,AJ19)</f>
        <v>0</v>
      </c>
      <c r="AT19" s="132">
        <f t="shared" si="5"/>
        <v>0</v>
      </c>
      <c r="AU19" s="132">
        <f t="shared" si="6"/>
        <v>0</v>
      </c>
      <c r="AV19" s="132"/>
      <c r="AW19" s="132"/>
      <c r="AX19" s="132" t="b">
        <f t="shared" si="7"/>
        <v>1</v>
      </c>
    </row>
    <row r="20" spans="1:54" ht="15" x14ac:dyDescent="0.25">
      <c r="A20" s="236">
        <f t="shared" si="8"/>
        <v>0</v>
      </c>
      <c r="B20" s="148" t="s">
        <v>90</v>
      </c>
      <c r="C20" s="171"/>
      <c r="D20" s="173"/>
      <c r="E20" s="174"/>
      <c r="J20" s="129"/>
      <c r="K20" s="175"/>
      <c r="L20" s="175"/>
      <c r="M20" s="175"/>
      <c r="N20" s="175"/>
      <c r="O20" s="176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221" t="s">
        <v>92</v>
      </c>
      <c r="AJ20" s="88" t="s">
        <v>86</v>
      </c>
      <c r="AK20" s="88">
        <f t="shared" si="1"/>
        <v>0</v>
      </c>
      <c r="AL20" s="89">
        <f>COUNTIF('AC Report-Final'!$G$27:$G$1048576,AJ20)</f>
        <v>0</v>
      </c>
      <c r="AM20" s="149">
        <v>0.5</v>
      </c>
      <c r="AN20" s="132"/>
      <c r="AO20" s="150" t="str">
        <f t="shared" si="2"/>
        <v xml:space="preserve"> </v>
      </c>
      <c r="AP20" s="151" t="e">
        <f t="shared" si="3"/>
        <v>#DIV/0!</v>
      </c>
      <c r="AQ20" s="132" t="e">
        <f t="shared" si="4"/>
        <v>#DIV/0!</v>
      </c>
      <c r="AR20" s="152" t="e">
        <f t="shared" si="9"/>
        <v>#DIV/0!</v>
      </c>
      <c r="AS20" s="89">
        <f>COUNTIF('AC Report-Final'!$H$27:$H$1048576,AJ20)</f>
        <v>0</v>
      </c>
      <c r="AT20" s="132">
        <f t="shared" si="5"/>
        <v>0</v>
      </c>
      <c r="AU20" s="132">
        <f t="shared" si="6"/>
        <v>0</v>
      </c>
      <c r="AV20" s="132"/>
      <c r="AW20" s="132"/>
      <c r="AX20" s="132" t="b">
        <f t="shared" si="7"/>
        <v>1</v>
      </c>
    </row>
    <row r="21" spans="1:54" ht="15" x14ac:dyDescent="0.25">
      <c r="A21" s="236">
        <f t="shared" si="8"/>
        <v>0</v>
      </c>
      <c r="B21" s="148" t="s">
        <v>90</v>
      </c>
      <c r="C21" s="171"/>
      <c r="D21" s="173"/>
      <c r="E21" s="174"/>
      <c r="J21" s="129"/>
      <c r="K21" s="175"/>
      <c r="L21" s="175"/>
      <c r="M21" s="175"/>
      <c r="N21" s="175"/>
      <c r="O21" s="176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221" t="s">
        <v>92</v>
      </c>
      <c r="AJ21" s="88" t="s">
        <v>87</v>
      </c>
      <c r="AK21" s="88">
        <f t="shared" si="1"/>
        <v>0</v>
      </c>
      <c r="AL21" s="89">
        <f>COUNTIF('AC Report-Final'!$G$27:$G$1048576,AJ21)</f>
        <v>0</v>
      </c>
      <c r="AM21" s="149">
        <v>0.5</v>
      </c>
      <c r="AN21" s="132"/>
      <c r="AO21" s="150" t="str">
        <f t="shared" si="2"/>
        <v xml:space="preserve"> </v>
      </c>
      <c r="AP21" s="151" t="e">
        <f t="shared" si="3"/>
        <v>#DIV/0!</v>
      </c>
      <c r="AQ21" s="132" t="e">
        <f t="shared" si="4"/>
        <v>#DIV/0!</v>
      </c>
      <c r="AR21" s="152" t="e">
        <f t="shared" si="9"/>
        <v>#DIV/0!</v>
      </c>
      <c r="AS21" s="89">
        <f>COUNTIF('AC Report-Final'!$H$27:$H$1048576,AJ21)</f>
        <v>0</v>
      </c>
      <c r="AT21" s="132">
        <f t="shared" si="5"/>
        <v>0</v>
      </c>
      <c r="AU21" s="132">
        <f t="shared" si="6"/>
        <v>0</v>
      </c>
      <c r="AV21" s="132"/>
      <c r="AW21" s="132"/>
      <c r="AX21" s="132" t="b">
        <f t="shared" si="7"/>
        <v>1</v>
      </c>
    </row>
    <row r="22" spans="1:54" ht="15" x14ac:dyDescent="0.25">
      <c r="A22" s="236">
        <f t="shared" si="8"/>
        <v>0</v>
      </c>
      <c r="B22" s="148" t="s">
        <v>90</v>
      </c>
      <c r="C22" s="171"/>
      <c r="D22" s="177"/>
      <c r="E22" s="140"/>
      <c r="O22" s="102"/>
      <c r="AI22" s="219" t="s">
        <v>93</v>
      </c>
      <c r="AJ22" s="88" t="s">
        <v>31</v>
      </c>
      <c r="AK22" s="88">
        <f t="shared" si="1"/>
        <v>0</v>
      </c>
      <c r="AL22" s="89">
        <f>COUNTIF('AC Report-Final'!$G$27:$G$1048576,AJ22)</f>
        <v>0</v>
      </c>
      <c r="AM22" s="149">
        <v>0.05</v>
      </c>
      <c r="AN22" s="132"/>
      <c r="AO22" s="150" t="str">
        <f t="shared" si="2"/>
        <v xml:space="preserve"> </v>
      </c>
      <c r="AP22" s="151" t="e">
        <f t="shared" si="3"/>
        <v>#DIV/0!</v>
      </c>
      <c r="AQ22" s="132" t="e">
        <f t="shared" si="4"/>
        <v>#DIV/0!</v>
      </c>
      <c r="AR22" s="152" t="e">
        <f t="shared" si="9"/>
        <v>#DIV/0!</v>
      </c>
      <c r="AS22" s="89">
        <f>COUNTIF('AC Report-Final'!$H$27:$H$1048576,AJ22)</f>
        <v>0</v>
      </c>
      <c r="AT22" s="132">
        <f t="shared" si="5"/>
        <v>0</v>
      </c>
      <c r="AU22" s="132">
        <f t="shared" si="6"/>
        <v>0</v>
      </c>
      <c r="AV22" s="132"/>
      <c r="AW22" s="132"/>
      <c r="AX22" s="132" t="b">
        <f t="shared" si="7"/>
        <v>1</v>
      </c>
      <c r="BB22" s="129" t="str">
        <f>IF(AND(G4&lt;=90%,G4&gt;70%,AL5=0,AL6=0,AL7=0),"Attention Required !",IF(AND(G4&lt;=95%,G4&gt;90%,AL5=0,AL6=0,AL7=0),"Keep it up !",IF(AND(G4&lt;100%,G4&gt;95%,AL5=0,AL6=0,AL7=0),"Just missed !",(IF(G4=100%,"Bravo !! ",IF(G4="","","High alert !"))))))</f>
        <v/>
      </c>
    </row>
    <row r="23" spans="1:54" ht="15" x14ac:dyDescent="0.25">
      <c r="A23" s="236">
        <f t="shared" si="8"/>
        <v>0</v>
      </c>
      <c r="B23" s="148" t="s">
        <v>90</v>
      </c>
      <c r="C23" s="171"/>
      <c r="D23" s="280"/>
      <c r="E23" s="280"/>
      <c r="F23" s="281"/>
      <c r="G23" s="212"/>
      <c r="H23" s="212"/>
      <c r="I23" s="212"/>
      <c r="O23" s="102"/>
      <c r="AI23" s="219" t="s">
        <v>92</v>
      </c>
      <c r="AJ23" s="88" t="s">
        <v>32</v>
      </c>
      <c r="AK23" s="88">
        <f t="shared" si="1"/>
        <v>0</v>
      </c>
      <c r="AL23" s="89">
        <f>COUNTIF('AC Report-Final'!$G$27:$G$1048576,AJ23)</f>
        <v>0</v>
      </c>
      <c r="AM23" s="149">
        <v>2</v>
      </c>
      <c r="AN23" s="132"/>
      <c r="AO23" s="150" t="str">
        <f t="shared" si="2"/>
        <v xml:space="preserve"> </v>
      </c>
      <c r="AP23" s="151" t="e">
        <f t="shared" si="3"/>
        <v>#DIV/0!</v>
      </c>
      <c r="AQ23" s="132" t="e">
        <f t="shared" si="4"/>
        <v>#DIV/0!</v>
      </c>
      <c r="AR23" s="152" t="e">
        <f t="shared" si="9"/>
        <v>#DIV/0!</v>
      </c>
      <c r="AS23" s="89">
        <f>COUNTIF('AC Report-Final'!$H$27:$H$1048576,AJ23)</f>
        <v>0</v>
      </c>
      <c r="AT23" s="132">
        <f t="shared" si="5"/>
        <v>0</v>
      </c>
      <c r="AU23" s="132">
        <f t="shared" si="6"/>
        <v>0</v>
      </c>
      <c r="AV23" s="132"/>
      <c r="AW23" s="132"/>
      <c r="AX23" s="132" t="b">
        <f t="shared" si="7"/>
        <v>1</v>
      </c>
    </row>
    <row r="24" spans="1:54" ht="15" x14ac:dyDescent="0.25">
      <c r="A24" s="236">
        <f t="shared" si="8"/>
        <v>0</v>
      </c>
      <c r="B24" s="148" t="s">
        <v>90</v>
      </c>
      <c r="C24" s="171"/>
      <c r="D24" s="280"/>
      <c r="E24" s="280"/>
      <c r="F24" s="281"/>
      <c r="G24" s="212"/>
      <c r="H24" s="212"/>
      <c r="I24" s="212"/>
      <c r="O24" s="102"/>
      <c r="AI24" s="219"/>
      <c r="AJ24" s="88" t="s">
        <v>33</v>
      </c>
      <c r="AK24" s="88">
        <f t="shared" si="1"/>
        <v>0</v>
      </c>
      <c r="AL24" s="89">
        <f>COUNTIF('AC Report-Final'!$G$27:$G$1048576,AJ24)</f>
        <v>0</v>
      </c>
      <c r="AM24" s="149">
        <v>0</v>
      </c>
      <c r="AN24" s="132"/>
      <c r="AO24" s="150" t="str">
        <f t="shared" si="2"/>
        <v xml:space="preserve"> </v>
      </c>
      <c r="AP24" s="151" t="e">
        <f t="shared" si="3"/>
        <v>#DIV/0!</v>
      </c>
      <c r="AQ24" s="132" t="e">
        <f t="shared" si="4"/>
        <v>#DIV/0!</v>
      </c>
      <c r="AR24" s="152" t="e">
        <f t="shared" si="9"/>
        <v>#DIV/0!</v>
      </c>
      <c r="AS24" s="89">
        <f>COUNTIF('AC Report-Final'!$H$27:$H$1048576,AJ24)</f>
        <v>0</v>
      </c>
      <c r="AT24" s="132">
        <f t="shared" si="5"/>
        <v>0</v>
      </c>
      <c r="AU24" s="132">
        <f t="shared" si="6"/>
        <v>0</v>
      </c>
      <c r="AV24" s="132"/>
      <c r="AW24" s="132"/>
      <c r="AX24" s="132" t="b">
        <f t="shared" si="7"/>
        <v>1</v>
      </c>
    </row>
    <row r="25" spans="1:54" ht="15" x14ac:dyDescent="0.25">
      <c r="A25" s="236">
        <f t="shared" si="8"/>
        <v>0</v>
      </c>
      <c r="B25" s="148" t="s">
        <v>90</v>
      </c>
      <c r="C25" s="171"/>
      <c r="D25" s="179"/>
      <c r="E25" s="173"/>
      <c r="F25" s="212"/>
      <c r="G25" s="212"/>
      <c r="H25" s="212"/>
      <c r="I25" s="212"/>
      <c r="O25" s="102"/>
      <c r="AI25" s="219" t="s">
        <v>94</v>
      </c>
      <c r="AJ25" s="98" t="str">
        <f>AJ33</f>
        <v>Incorrect reporting</v>
      </c>
      <c r="AK25" s="88">
        <f t="shared" si="1"/>
        <v>0</v>
      </c>
      <c r="AL25" s="89">
        <f>COUNTIF('AC Report-Final'!$G$27:$G$1048576,AJ25)</f>
        <v>0</v>
      </c>
      <c r="AM25" s="149">
        <f>AK33</f>
        <v>1</v>
      </c>
      <c r="AN25" s="132"/>
      <c r="AO25" s="150" t="str">
        <f t="shared" si="2"/>
        <v xml:space="preserve"> </v>
      </c>
      <c r="AP25" s="151" t="e">
        <f t="shared" si="3"/>
        <v>#DIV/0!</v>
      </c>
      <c r="AQ25" s="132" t="e">
        <f t="shared" si="4"/>
        <v>#DIV/0!</v>
      </c>
      <c r="AR25" s="152" t="e">
        <f t="shared" si="9"/>
        <v>#DIV/0!</v>
      </c>
      <c r="AS25" s="89">
        <f>COUNTIF('AC Report-Final'!$H$27:$H$1048576,AJ25)</f>
        <v>0</v>
      </c>
      <c r="AT25" s="132">
        <f t="shared" si="5"/>
        <v>0</v>
      </c>
      <c r="AU25" s="132">
        <f t="shared" si="6"/>
        <v>0</v>
      </c>
      <c r="AV25" s="132"/>
      <c r="AW25" s="132"/>
      <c r="AX25" s="132" t="b">
        <f t="shared" si="7"/>
        <v>1</v>
      </c>
    </row>
    <row r="26" spans="1:54" ht="15" x14ac:dyDescent="0.25">
      <c r="A26" s="236">
        <f t="shared" si="8"/>
        <v>0</v>
      </c>
      <c r="B26" s="148" t="s">
        <v>90</v>
      </c>
      <c r="C26" s="171"/>
      <c r="D26" s="179"/>
      <c r="E26" s="173"/>
      <c r="F26" s="212"/>
      <c r="G26" s="212"/>
      <c r="H26" s="212"/>
      <c r="I26" s="212"/>
      <c r="O26" s="102"/>
      <c r="AI26" s="219" t="s">
        <v>92</v>
      </c>
      <c r="AJ26" s="98" t="str">
        <f>AJ34</f>
        <v>Algo consistency</v>
      </c>
      <c r="AK26" s="88">
        <f t="shared" si="1"/>
        <v>0</v>
      </c>
      <c r="AL26" s="89">
        <f>COUNTIF('AC Report-Final'!$G$27:$G$1048576,AJ26)</f>
        <v>0</v>
      </c>
      <c r="AM26" s="149">
        <f>AK34</f>
        <v>1</v>
      </c>
      <c r="AN26" s="132"/>
      <c r="AO26" s="150" t="str">
        <f t="shared" si="2"/>
        <v xml:space="preserve"> </v>
      </c>
      <c r="AP26" s="151" t="e">
        <f t="shared" si="3"/>
        <v>#DIV/0!</v>
      </c>
      <c r="AQ26" s="132" t="e">
        <f t="shared" si="4"/>
        <v>#DIV/0!</v>
      </c>
      <c r="AR26" s="152" t="e">
        <f t="shared" si="9"/>
        <v>#DIV/0!</v>
      </c>
      <c r="AS26" s="89">
        <f>COUNTIF('AC Report-Final'!$H$27:$H$1048576,AJ26)</f>
        <v>0</v>
      </c>
      <c r="AT26" s="132">
        <f t="shared" si="5"/>
        <v>0</v>
      </c>
      <c r="AU26" s="132">
        <f t="shared" si="6"/>
        <v>0</v>
      </c>
      <c r="AV26" s="132"/>
      <c r="AW26" s="132"/>
      <c r="AX26" s="132" t="b">
        <f t="shared" si="7"/>
        <v>1</v>
      </c>
    </row>
    <row r="27" spans="1:54" ht="15" x14ac:dyDescent="0.25">
      <c r="A27" s="236">
        <f t="shared" si="8"/>
        <v>0</v>
      </c>
      <c r="B27" s="148" t="s">
        <v>90</v>
      </c>
      <c r="C27" s="171"/>
      <c r="D27" s="180"/>
      <c r="E27" s="173"/>
      <c r="F27" s="212"/>
      <c r="G27" s="212"/>
      <c r="H27" s="212"/>
      <c r="I27" s="212"/>
      <c r="J27" s="95"/>
      <c r="K27" s="95"/>
      <c r="L27" s="95"/>
      <c r="M27" s="95"/>
      <c r="N27" s="95"/>
      <c r="O27" s="103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218" t="s">
        <v>92</v>
      </c>
      <c r="AJ27" s="98" t="str">
        <f>AJ35</f>
        <v>Adherence to guidelines</v>
      </c>
      <c r="AK27" s="88">
        <f t="shared" si="1"/>
        <v>0</v>
      </c>
      <c r="AL27" s="89">
        <f>COUNTIF('AC Report-Final'!$G$27:$G$1048576,AJ27)</f>
        <v>0</v>
      </c>
      <c r="AM27" s="149">
        <f>AK35</f>
        <v>2</v>
      </c>
      <c r="AN27" s="132"/>
      <c r="AO27" s="150" t="str">
        <f t="shared" si="2"/>
        <v xml:space="preserve"> </v>
      </c>
      <c r="AP27" s="151" t="e">
        <f t="shared" si="3"/>
        <v>#DIV/0!</v>
      </c>
      <c r="AQ27" s="132" t="e">
        <f t="shared" si="4"/>
        <v>#DIV/0!</v>
      </c>
      <c r="AR27" s="152" t="e">
        <f t="shared" si="9"/>
        <v>#DIV/0!</v>
      </c>
      <c r="AS27" s="89">
        <f>COUNTIF('AC Report-Final'!$H$27:$H$1048576,AJ27)</f>
        <v>0</v>
      </c>
      <c r="AT27" s="132">
        <f t="shared" si="5"/>
        <v>0</v>
      </c>
      <c r="AU27" s="132">
        <f t="shared" si="6"/>
        <v>0</v>
      </c>
      <c r="AV27" s="132"/>
      <c r="AW27" s="132"/>
      <c r="AX27" s="132" t="b">
        <f t="shared" si="7"/>
        <v>1</v>
      </c>
    </row>
    <row r="28" spans="1:54" ht="15" x14ac:dyDescent="0.25">
      <c r="A28" s="236">
        <f t="shared" si="8"/>
        <v>0</v>
      </c>
      <c r="B28" s="148" t="s">
        <v>90</v>
      </c>
      <c r="C28" s="171"/>
      <c r="D28" s="181"/>
      <c r="E28" s="173"/>
      <c r="F28" s="212"/>
      <c r="G28" s="212"/>
      <c r="H28" s="212"/>
      <c r="I28" s="212"/>
      <c r="O28" s="102"/>
      <c r="AI28" s="219"/>
      <c r="AJ28" s="98">
        <f>AJ36</f>
        <v>0</v>
      </c>
      <c r="AK28" s="88">
        <f t="shared" si="1"/>
        <v>0</v>
      </c>
      <c r="AL28" s="89">
        <f>COUNTIF('AC Report-Final'!$G$27:$G$1048576,AJ28)</f>
        <v>0</v>
      </c>
      <c r="AM28" s="149">
        <f>AK36</f>
        <v>0</v>
      </c>
      <c r="AN28" s="132"/>
      <c r="AO28" s="150" t="str">
        <f t="shared" si="2"/>
        <v xml:space="preserve"> </v>
      </c>
      <c r="AP28" s="151" t="e">
        <f>AM28*(100/$E$11)</f>
        <v>#DIV/0!</v>
      </c>
      <c r="AQ28" s="132" t="e">
        <f t="shared" si="4"/>
        <v>#DIV/0!</v>
      </c>
      <c r="AR28" s="152" t="e">
        <f t="shared" si="9"/>
        <v>#DIV/0!</v>
      </c>
      <c r="AS28" s="89">
        <f>COUNTIF('AC Report-Final'!$H$27:$H$1048576,AJ28)</f>
        <v>0</v>
      </c>
      <c r="AT28" s="132">
        <f t="shared" si="5"/>
        <v>0</v>
      </c>
      <c r="AU28" s="132">
        <f t="shared" si="6"/>
        <v>0</v>
      </c>
      <c r="AV28" s="132"/>
      <c r="AW28" s="132"/>
      <c r="AX28" s="132" t="b">
        <f t="shared" si="7"/>
        <v>1</v>
      </c>
    </row>
    <row r="29" spans="1:54" ht="15" hidden="1" x14ac:dyDescent="0.25">
      <c r="A29" s="236">
        <f t="shared" si="8"/>
        <v>0</v>
      </c>
      <c r="B29" s="148" t="s">
        <v>90</v>
      </c>
      <c r="C29" s="171"/>
      <c r="D29" s="181"/>
      <c r="E29" s="173"/>
      <c r="F29" s="212"/>
      <c r="G29" s="212"/>
      <c r="H29" s="212"/>
      <c r="I29" s="212"/>
      <c r="O29" s="102"/>
      <c r="AJ29" s="90"/>
      <c r="AK29" s="90"/>
      <c r="AL29" s="91" t="e">
        <f>IF((100-AQ29)/100&lt;0,"0%",(100-AQ29)/100)</f>
        <v>#DIV/0!</v>
      </c>
      <c r="AM29" s="154"/>
      <c r="AN29" s="132"/>
      <c r="AO29" s="132"/>
      <c r="AP29" s="202" t="e">
        <f>SUM(AP5:AP28)</f>
        <v>#DIV/0!</v>
      </c>
      <c r="AQ29" s="132" t="e">
        <f>SUM(AQ5:AQ28)</f>
        <v>#DIV/0!</v>
      </c>
      <c r="AR29" s="132"/>
      <c r="AS29" s="91">
        <f>IF(1-AT30&lt;0,0%,1-AT30)</f>
        <v>1</v>
      </c>
      <c r="AT29" s="90">
        <f>SUM(AT5:AT28)</f>
        <v>0</v>
      </c>
      <c r="AU29" s="90">
        <f>SUM(AU5:AU28)</f>
        <v>0</v>
      </c>
      <c r="AV29" s="132"/>
      <c r="AW29" s="132"/>
      <c r="AX29" s="132">
        <f>COUNTIF(AX5:AX28,"TRUE")</f>
        <v>24</v>
      </c>
    </row>
    <row r="30" spans="1:54" ht="15" hidden="1" x14ac:dyDescent="0.25">
      <c r="A30" s="236">
        <v>0</v>
      </c>
      <c r="B30" s="148" t="s">
        <v>90</v>
      </c>
      <c r="C30" s="171"/>
      <c r="D30" s="181"/>
      <c r="E30" s="173"/>
      <c r="F30" s="212"/>
      <c r="G30" s="212"/>
      <c r="H30" s="212"/>
      <c r="I30" s="212"/>
      <c r="O30" s="102"/>
      <c r="AJ30" s="132"/>
      <c r="AK30" s="136">
        <f>SUM(AK5:AK29)</f>
        <v>0</v>
      </c>
      <c r="AL30" s="136" t="e">
        <f>SUM(AL5:AL29)</f>
        <v>#DIV/0!</v>
      </c>
      <c r="AM30" s="155"/>
      <c r="AN30" s="132"/>
      <c r="AO30" s="132"/>
      <c r="AP30" s="132"/>
      <c r="AQ30" s="132"/>
      <c r="AR30" s="132"/>
      <c r="AS30" s="132"/>
      <c r="AT30" s="132">
        <f>IF(ISERROR(AU29/AT29),0,AU29/AT29)</f>
        <v>0</v>
      </c>
      <c r="AU30" s="132"/>
      <c r="AV30" s="132"/>
      <c r="AW30" s="132"/>
      <c r="AX30" s="132"/>
    </row>
    <row r="31" spans="1:54" ht="15" x14ac:dyDescent="0.25">
      <c r="A31" s="236" t="str">
        <f>G4</f>
        <v/>
      </c>
      <c r="B31" s="148" t="s">
        <v>90</v>
      </c>
      <c r="C31" s="171"/>
      <c r="O31" s="102"/>
      <c r="AJ31" s="133"/>
      <c r="AK31" s="133"/>
      <c r="AL31" s="134"/>
    </row>
    <row r="32" spans="1:54" ht="15" x14ac:dyDescent="0.25">
      <c r="A32" s="236">
        <v>0</v>
      </c>
      <c r="B32" s="148" t="s">
        <v>90</v>
      </c>
      <c r="C32" s="171"/>
      <c r="J32" s="117"/>
      <c r="K32" s="96"/>
      <c r="L32" s="96"/>
      <c r="M32" s="96"/>
      <c r="N32" s="96"/>
      <c r="O32" s="104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88" t="s">
        <v>96</v>
      </c>
      <c r="AK32" s="133"/>
      <c r="AL32" s="134"/>
      <c r="AT32" s="83">
        <f>1-AT30</f>
        <v>1</v>
      </c>
      <c r="AU32" s="83" t="e">
        <f>AT32*AV34</f>
        <v>#DIV/0!</v>
      </c>
      <c r="AV32" s="83" t="e">
        <f>AT32-AU32</f>
        <v>#DIV/0!</v>
      </c>
    </row>
    <row r="33" spans="1:49" ht="15" x14ac:dyDescent="0.25">
      <c r="A33" s="236">
        <f>K7</f>
        <v>0</v>
      </c>
      <c r="B33" s="148" t="s">
        <v>90</v>
      </c>
      <c r="C33" s="171"/>
      <c r="J33" s="117"/>
      <c r="K33" s="96"/>
      <c r="L33" s="96"/>
      <c r="M33" s="96"/>
      <c r="N33" s="96"/>
      <c r="O33" s="104"/>
      <c r="AI33" s="200"/>
      <c r="AJ33" s="199" t="s">
        <v>89</v>
      </c>
      <c r="AK33" s="200">
        <v>1</v>
      </c>
      <c r="AL33" s="134"/>
    </row>
    <row r="34" spans="1:49" ht="15" x14ac:dyDescent="0.25">
      <c r="A34" s="236" t="str">
        <f>G6</f>
        <v/>
      </c>
      <c r="B34" s="148" t="s">
        <v>90</v>
      </c>
      <c r="C34" s="171"/>
      <c r="L34" s="96"/>
      <c r="M34" s="96"/>
      <c r="N34" s="96"/>
      <c r="O34" s="104"/>
      <c r="AI34" s="200"/>
      <c r="AJ34" s="199" t="s">
        <v>91</v>
      </c>
      <c r="AK34" s="200">
        <v>1</v>
      </c>
      <c r="AL34" s="134"/>
      <c r="AT34" s="129">
        <f>E12</f>
        <v>0</v>
      </c>
      <c r="AU34" s="129">
        <f>E13</f>
        <v>0</v>
      </c>
      <c r="AV34" s="83" t="e">
        <f>AU34/AT34</f>
        <v>#DIV/0!</v>
      </c>
    </row>
    <row r="35" spans="1:49" ht="15" x14ac:dyDescent="0.25">
      <c r="A35" s="236">
        <f>L11</f>
        <v>0</v>
      </c>
      <c r="B35" s="148" t="s">
        <v>90</v>
      </c>
      <c r="C35" s="171"/>
      <c r="L35" s="96"/>
      <c r="M35" s="96"/>
      <c r="N35" s="96"/>
      <c r="O35" s="104"/>
      <c r="AI35" s="200"/>
      <c r="AJ35" s="199" t="s">
        <v>102</v>
      </c>
      <c r="AK35" s="200">
        <v>2</v>
      </c>
      <c r="AL35" s="134"/>
      <c r="AM35" s="141"/>
    </row>
    <row r="36" spans="1:49" ht="15" x14ac:dyDescent="0.25">
      <c r="A36" s="237">
        <f>L12</f>
        <v>0</v>
      </c>
      <c r="B36" s="148" t="s">
        <v>90</v>
      </c>
      <c r="C36" s="171"/>
      <c r="L36" s="96"/>
      <c r="M36" s="96"/>
      <c r="N36" s="96"/>
      <c r="O36" s="104"/>
      <c r="AI36" s="200"/>
      <c r="AJ36" s="199"/>
      <c r="AK36" s="200"/>
      <c r="AL36" s="134"/>
      <c r="AS36" s="142" t="s">
        <v>67</v>
      </c>
      <c r="AT36" s="143">
        <v>50</v>
      </c>
      <c r="AU36" s="129">
        <f>IF(AW38=0,10%,AT38/AT40)</f>
        <v>0.1</v>
      </c>
      <c r="AV36" s="129" t="e">
        <f>AU36*AV34</f>
        <v>#DIV/0!</v>
      </c>
      <c r="AW36" s="83" t="e">
        <f>IF(AT32-AV36&gt;0,AT32-AV36,0)</f>
        <v>#DIV/0!</v>
      </c>
    </row>
    <row r="37" spans="1:49" ht="15" x14ac:dyDescent="0.25">
      <c r="A37" s="238" t="str">
        <f>AK2</f>
        <v>100%</v>
      </c>
      <c r="B37" s="148" t="s">
        <v>90</v>
      </c>
      <c r="C37" s="171"/>
      <c r="O37" s="102"/>
      <c r="AJ37" s="138"/>
      <c r="AK37" s="138"/>
      <c r="AL37" s="134"/>
      <c r="AS37" s="144" t="s">
        <v>68</v>
      </c>
      <c r="AT37" s="145">
        <v>15</v>
      </c>
    </row>
    <row r="38" spans="1:49" ht="15" x14ac:dyDescent="0.25">
      <c r="B38" s="148" t="s">
        <v>90</v>
      </c>
      <c r="C38" s="171"/>
      <c r="O38" s="102"/>
      <c r="AJ38" s="222" t="s">
        <v>95</v>
      </c>
      <c r="AK38" s="138"/>
      <c r="AL38" s="134"/>
      <c r="AS38" s="144" t="s">
        <v>69</v>
      </c>
      <c r="AT38" s="145">
        <v>25</v>
      </c>
      <c r="AV38" s="129" t="s">
        <v>81</v>
      </c>
      <c r="AW38" s="129">
        <f>AL5+AL6+AL7+AL8+AL9+AL13+AL14+AL17+AL23+AL18+AL19+AL20+AL21</f>
        <v>0</v>
      </c>
    </row>
    <row r="39" spans="1:49" ht="15" x14ac:dyDescent="0.25">
      <c r="B39" s="148" t="s">
        <v>90</v>
      </c>
      <c r="C39" s="171"/>
      <c r="O39" s="102"/>
      <c r="AI39" s="227" t="s">
        <v>92</v>
      </c>
      <c r="AJ39" s="225">
        <f ca="1">SUMIF($AI$5:$AL$28,AI39,$AL$5:$AL$28)</f>
        <v>0</v>
      </c>
      <c r="AK39" s="138"/>
      <c r="AL39" s="134"/>
      <c r="AS39" s="144" t="s">
        <v>70</v>
      </c>
      <c r="AT39" s="145">
        <v>10</v>
      </c>
      <c r="AV39" s="129" t="s">
        <v>28</v>
      </c>
      <c r="AW39" s="129">
        <f>E13</f>
        <v>0</v>
      </c>
    </row>
    <row r="40" spans="1:49" ht="15" x14ac:dyDescent="0.25">
      <c r="B40" s="148" t="s">
        <v>90</v>
      </c>
      <c r="C40" s="171"/>
      <c r="F40" s="158"/>
      <c r="G40" s="158"/>
      <c r="H40" s="158"/>
      <c r="I40" s="158"/>
      <c r="J40" s="158"/>
      <c r="K40" s="158"/>
      <c r="L40" s="158"/>
      <c r="M40" s="158"/>
      <c r="N40" s="158"/>
      <c r="O40" s="182"/>
      <c r="AI40" s="227" t="s">
        <v>94</v>
      </c>
      <c r="AJ40" s="225">
        <f t="shared" ref="AJ40:AJ41" ca="1" si="10">SUMIF($AI$5:$AL$28,AI40,$AL$5:$AL$28)</f>
        <v>0</v>
      </c>
      <c r="AK40" s="138"/>
      <c r="AL40" s="134"/>
      <c r="AS40" s="146"/>
      <c r="AT40" s="147">
        <f>SUM(AT36:AT39)</f>
        <v>100</v>
      </c>
      <c r="AV40" s="129" t="s">
        <v>82</v>
      </c>
      <c r="AW40" s="129">
        <f>SUM(AL5:AL28)-AW38</f>
        <v>0</v>
      </c>
    </row>
    <row r="41" spans="1:49" ht="15.75" thickBot="1" x14ac:dyDescent="0.3">
      <c r="B41" s="148" t="s">
        <v>90</v>
      </c>
      <c r="C41" s="183"/>
      <c r="D41" s="184"/>
      <c r="E41" s="184"/>
      <c r="F41" s="185"/>
      <c r="G41" s="185"/>
      <c r="H41" s="185"/>
      <c r="I41" s="185"/>
      <c r="J41" s="185"/>
      <c r="K41" s="185"/>
      <c r="L41" s="185"/>
      <c r="M41" s="185"/>
      <c r="N41" s="185"/>
      <c r="O41" s="186"/>
      <c r="AI41" s="227" t="s">
        <v>93</v>
      </c>
      <c r="AJ41" s="225">
        <f t="shared" ca="1" si="10"/>
        <v>0</v>
      </c>
      <c r="AK41" s="138"/>
      <c r="AL41" s="134"/>
    </row>
    <row r="42" spans="1:49" s="133" customFormat="1" ht="15.75" thickTop="1" x14ac:dyDescent="0.25">
      <c r="A42" s="237"/>
      <c r="B42" s="148" t="s">
        <v>90</v>
      </c>
      <c r="D42" s="156"/>
      <c r="E42" s="156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AJ42" s="138"/>
      <c r="AK42" s="138"/>
      <c r="AL42" s="134"/>
    </row>
    <row r="43" spans="1:49" ht="15" hidden="1" x14ac:dyDescent="0.25">
      <c r="A43" s="239"/>
      <c r="D43" s="157"/>
      <c r="E43" s="157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AJ43" s="139"/>
      <c r="AK43" s="139"/>
    </row>
    <row r="44" spans="1:49" ht="15" hidden="1" x14ac:dyDescent="0.25">
      <c r="D44" s="157"/>
      <c r="E44" s="157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AJ44" s="139"/>
      <c r="AK44" s="139"/>
    </row>
    <row r="45" spans="1:49" ht="15" hidden="1" x14ac:dyDescent="0.25">
      <c r="D45" s="157"/>
      <c r="E45" s="157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AJ45" s="139"/>
      <c r="AK45" s="139"/>
    </row>
    <row r="46" spans="1:49" ht="15" hidden="1" x14ac:dyDescent="0.25">
      <c r="D46" s="157"/>
      <c r="E46" s="157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AJ46" s="139"/>
      <c r="AK46" s="139"/>
    </row>
    <row r="47" spans="1:49" ht="15" hidden="1" x14ac:dyDescent="0.25">
      <c r="D47" s="157"/>
      <c r="E47" s="157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AJ47" s="139"/>
      <c r="AK47" s="139"/>
    </row>
    <row r="48" spans="1:49" ht="15" hidden="1" x14ac:dyDescent="0.25">
      <c r="D48" s="157"/>
      <c r="E48" s="157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AJ48" s="139"/>
      <c r="AK48" s="139"/>
    </row>
    <row r="49" spans="3:38" ht="15" hidden="1" x14ac:dyDescent="0.25">
      <c r="D49" s="157"/>
      <c r="E49" s="157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AJ49" s="139"/>
      <c r="AK49" s="139"/>
    </row>
    <row r="50" spans="3:38" ht="15" hidden="1" x14ac:dyDescent="0.25">
      <c r="D50" s="157"/>
      <c r="E50" s="157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AJ50" s="139"/>
      <c r="AK50" s="139"/>
      <c r="AL50" s="129"/>
    </row>
    <row r="51" spans="3:38" ht="15" hidden="1" x14ac:dyDescent="0.25">
      <c r="D51" s="157"/>
      <c r="E51" s="157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AJ51" s="139"/>
      <c r="AK51" s="139"/>
      <c r="AL51" s="129"/>
    </row>
    <row r="52" spans="3:38" ht="15" hidden="1" x14ac:dyDescent="0.25">
      <c r="D52" s="157"/>
      <c r="E52" s="157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AJ52" s="139"/>
      <c r="AK52" s="139"/>
      <c r="AL52" s="129"/>
    </row>
    <row r="53" spans="3:38" ht="15" hidden="1" x14ac:dyDescent="0.25">
      <c r="D53" s="157"/>
      <c r="E53" s="157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9"/>
      <c r="AK53" s="139"/>
      <c r="AL53" s="129"/>
    </row>
    <row r="54" spans="3:38" ht="15" hidden="1" x14ac:dyDescent="0.25">
      <c r="D54" s="157"/>
      <c r="E54" s="157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9"/>
      <c r="AK54" s="139"/>
      <c r="AL54" s="129"/>
    </row>
    <row r="55" spans="3:38" ht="15" hidden="1" x14ac:dyDescent="0.25">
      <c r="D55" s="157"/>
      <c r="E55" s="157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9"/>
      <c r="AK55" s="139"/>
      <c r="AL55" s="129"/>
    </row>
    <row r="56" spans="3:38" ht="15" hidden="1" x14ac:dyDescent="0.25">
      <c r="D56" s="157"/>
      <c r="E56" s="157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9"/>
      <c r="AK56" s="139"/>
      <c r="AL56" s="129"/>
    </row>
    <row r="57" spans="3:38" ht="15" hidden="1" x14ac:dyDescent="0.25">
      <c r="D57" s="157"/>
      <c r="E57" s="157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9"/>
      <c r="AK57" s="139"/>
      <c r="AL57" s="129"/>
    </row>
    <row r="58" spans="3:38" ht="15" hidden="1" x14ac:dyDescent="0.25">
      <c r="D58" s="157"/>
      <c r="E58" s="157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9"/>
      <c r="AK58" s="139"/>
      <c r="AL58" s="129"/>
    </row>
    <row r="59" spans="3:38" ht="15" hidden="1" x14ac:dyDescent="0.25">
      <c r="D59" s="157"/>
      <c r="E59" s="157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9"/>
      <c r="AK59" s="139"/>
      <c r="AL59" s="129"/>
    </row>
    <row r="60" spans="3:38" ht="15" hidden="1" x14ac:dyDescent="0.25">
      <c r="D60" s="157"/>
      <c r="E60" s="157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9"/>
      <c r="AK60" s="139"/>
      <c r="AL60" s="129"/>
    </row>
    <row r="61" spans="3:38" ht="15" hidden="1" x14ac:dyDescent="0.25">
      <c r="C61" s="82"/>
      <c r="D61" s="157"/>
      <c r="E61" s="157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9"/>
      <c r="AK61" s="139"/>
      <c r="AL61" s="129"/>
    </row>
    <row r="62" spans="3:38" ht="15" hidden="1" x14ac:dyDescent="0.25">
      <c r="D62" s="157"/>
      <c r="E62" s="157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9"/>
      <c r="AK62" s="139"/>
      <c r="AL62" s="129"/>
    </row>
    <row r="63" spans="3:38" ht="15" hidden="1" x14ac:dyDescent="0.25">
      <c r="D63" s="157"/>
      <c r="E63" s="157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9"/>
      <c r="AK63" s="139"/>
      <c r="AL63" s="129"/>
    </row>
    <row r="64" spans="3:38" ht="15" hidden="1" x14ac:dyDescent="0.25">
      <c r="D64" s="157"/>
      <c r="E64" s="157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9"/>
      <c r="AK64" s="139"/>
      <c r="AL64" s="129"/>
    </row>
    <row r="65" spans="4:38" ht="15" hidden="1" x14ac:dyDescent="0.25">
      <c r="D65" s="157"/>
      <c r="E65" s="157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9"/>
      <c r="AK65" s="139"/>
      <c r="AL65" s="129"/>
    </row>
    <row r="66" spans="4:38" ht="15" hidden="1" x14ac:dyDescent="0.25">
      <c r="D66" s="157"/>
      <c r="E66" s="157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9"/>
      <c r="AK66" s="139"/>
      <c r="AL66" s="129"/>
    </row>
    <row r="67" spans="4:38" ht="15" hidden="1" x14ac:dyDescent="0.25">
      <c r="D67" s="157"/>
      <c r="E67" s="157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9"/>
      <c r="AK67" s="139"/>
      <c r="AL67" s="129"/>
    </row>
    <row r="68" spans="4:38" ht="15" hidden="1" x14ac:dyDescent="0.25">
      <c r="D68" s="157"/>
      <c r="E68" s="157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9"/>
      <c r="AK68" s="139"/>
      <c r="AL68" s="129"/>
    </row>
    <row r="69" spans="4:38" ht="15" hidden="1" x14ac:dyDescent="0.25">
      <c r="D69" s="157"/>
      <c r="E69" s="157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9"/>
      <c r="AK69" s="139"/>
      <c r="AL69" s="129"/>
    </row>
    <row r="70" spans="4:38" ht="15" hidden="1" x14ac:dyDescent="0.25">
      <c r="D70" s="157"/>
      <c r="E70" s="157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9"/>
      <c r="AK70" s="139"/>
      <c r="AL70" s="129"/>
    </row>
    <row r="71" spans="4:38" ht="15" hidden="1" x14ac:dyDescent="0.25">
      <c r="D71" s="157"/>
      <c r="E71" s="157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9"/>
      <c r="AK71" s="139"/>
      <c r="AL71" s="129"/>
    </row>
    <row r="72" spans="4:38" ht="15" hidden="1" x14ac:dyDescent="0.25">
      <c r="D72" s="157"/>
      <c r="E72" s="157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9"/>
      <c r="AK72" s="139"/>
      <c r="AL72" s="129"/>
    </row>
    <row r="73" spans="4:38" ht="15" hidden="1" x14ac:dyDescent="0.25">
      <c r="D73" s="157"/>
      <c r="E73" s="157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9"/>
      <c r="AK73" s="139"/>
      <c r="AL73" s="129"/>
    </row>
    <row r="74" spans="4:38" ht="15" hidden="1" x14ac:dyDescent="0.25">
      <c r="D74" s="157"/>
      <c r="E74" s="157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9"/>
      <c r="AK74" s="139"/>
      <c r="AL74" s="129"/>
    </row>
    <row r="75" spans="4:38" ht="15" hidden="1" x14ac:dyDescent="0.25">
      <c r="D75" s="157"/>
      <c r="E75" s="157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9"/>
      <c r="AK75" s="139"/>
      <c r="AL75" s="129"/>
    </row>
    <row r="76" spans="4:38" ht="15" hidden="1" x14ac:dyDescent="0.25">
      <c r="D76" s="157"/>
      <c r="E76" s="157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K76" s="139"/>
      <c r="AL76" s="129"/>
    </row>
    <row r="77" spans="4:38" ht="15" hidden="1" x14ac:dyDescent="0.25">
      <c r="D77" s="157"/>
      <c r="E77" s="157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K77" s="139"/>
      <c r="AL77" s="129"/>
    </row>
    <row r="78" spans="4:38" ht="15" hidden="1" x14ac:dyDescent="0.25">
      <c r="D78" s="157"/>
      <c r="E78" s="157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K78" s="139"/>
      <c r="AL78" s="129"/>
    </row>
    <row r="79" spans="4:38" ht="15" hidden="1" x14ac:dyDescent="0.25">
      <c r="D79" s="157"/>
      <c r="E79" s="157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K79" s="139"/>
      <c r="AL79" s="129"/>
    </row>
    <row r="80" spans="4:38" ht="15" hidden="1" x14ac:dyDescent="0.25">
      <c r="D80" s="157"/>
      <c r="E80" s="157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K80" s="139"/>
      <c r="AL80" s="129"/>
    </row>
    <row r="81" spans="4:38" ht="15" hidden="1" x14ac:dyDescent="0.25">
      <c r="D81" s="157"/>
      <c r="E81" s="157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K81" s="139"/>
      <c r="AL81" s="129"/>
    </row>
    <row r="82" spans="4:38" ht="15" hidden="1" x14ac:dyDescent="0.25">
      <c r="D82" s="157"/>
      <c r="E82" s="157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K82" s="139"/>
      <c r="AL82" s="129"/>
    </row>
    <row r="83" spans="4:38" ht="15" hidden="1" x14ac:dyDescent="0.25">
      <c r="D83" s="157"/>
      <c r="E83" s="157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K83" s="139"/>
      <c r="AL83" s="129"/>
    </row>
    <row r="84" spans="4:38" ht="15" hidden="1" x14ac:dyDescent="0.25">
      <c r="D84" s="157"/>
      <c r="E84" s="157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K84" s="139"/>
      <c r="AL84" s="129"/>
    </row>
    <row r="85" spans="4:38" ht="15" hidden="1" x14ac:dyDescent="0.25">
      <c r="D85" s="157"/>
      <c r="E85" s="157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K85" s="139"/>
      <c r="AL85" s="129"/>
    </row>
    <row r="86" spans="4:38" ht="15" hidden="1" x14ac:dyDescent="0.25">
      <c r="D86" s="157"/>
      <c r="E86" s="157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K86" s="139"/>
      <c r="AL86" s="129"/>
    </row>
    <row r="87" spans="4:38" ht="15" hidden="1" x14ac:dyDescent="0.25">
      <c r="D87" s="157"/>
      <c r="E87" s="157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K87" s="139"/>
      <c r="AL87" s="129"/>
    </row>
    <row r="88" spans="4:38" ht="15" hidden="1" x14ac:dyDescent="0.25">
      <c r="D88" s="157"/>
      <c r="E88" s="157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K88" s="139"/>
      <c r="AL88" s="129"/>
    </row>
    <row r="89" spans="4:38" ht="15" hidden="1" x14ac:dyDescent="0.25">
      <c r="D89" s="157"/>
      <c r="E89" s="157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K89" s="139"/>
      <c r="AL89" s="129"/>
    </row>
    <row r="90" spans="4:38" ht="15" hidden="1" x14ac:dyDescent="0.25">
      <c r="D90" s="157"/>
      <c r="E90" s="157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K90" s="139"/>
      <c r="AL90" s="129"/>
    </row>
    <row r="91" spans="4:38" ht="15" hidden="1" x14ac:dyDescent="0.25">
      <c r="D91" s="157"/>
      <c r="E91" s="157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K91" s="139"/>
      <c r="AL91" s="129"/>
    </row>
    <row r="92" spans="4:38" ht="15" hidden="1" x14ac:dyDescent="0.25">
      <c r="D92" s="157"/>
      <c r="E92" s="157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K92" s="139"/>
      <c r="AL92" s="129"/>
    </row>
    <row r="93" spans="4:38" ht="15" hidden="1" x14ac:dyDescent="0.25">
      <c r="D93" s="157"/>
      <c r="E93" s="157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K93" s="139"/>
      <c r="AL93" s="129"/>
    </row>
    <row r="94" spans="4:38" ht="15" hidden="1" x14ac:dyDescent="0.25">
      <c r="D94" s="157"/>
      <c r="E94" s="157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K94" s="139"/>
      <c r="AL94" s="129"/>
    </row>
    <row r="95" spans="4:38" ht="15" hidden="1" x14ac:dyDescent="0.25">
      <c r="D95" s="157"/>
      <c r="E95" s="157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K95" s="139"/>
      <c r="AL95" s="129"/>
    </row>
    <row r="96" spans="4:38" ht="15" hidden="1" x14ac:dyDescent="0.25">
      <c r="D96" s="159"/>
      <c r="E96" s="159"/>
      <c r="AK96" s="139"/>
      <c r="AL96" s="129"/>
    </row>
    <row r="97" spans="4:38" ht="15" hidden="1" x14ac:dyDescent="0.25">
      <c r="D97" s="159"/>
      <c r="E97" s="159"/>
      <c r="AK97" s="139"/>
      <c r="AL97" s="129"/>
    </row>
    <row r="98" spans="4:38" ht="15" hidden="1" x14ac:dyDescent="0.25">
      <c r="D98" s="159"/>
      <c r="E98" s="159"/>
      <c r="AK98" s="139"/>
      <c r="AL98" s="129"/>
    </row>
    <row r="99" spans="4:38" ht="15" hidden="1" x14ac:dyDescent="0.25">
      <c r="D99" s="159"/>
      <c r="E99" s="159"/>
      <c r="AK99" s="139"/>
      <c r="AL99" s="129"/>
    </row>
    <row r="100" spans="4:38" ht="15" hidden="1" x14ac:dyDescent="0.25">
      <c r="D100" s="159"/>
      <c r="E100" s="159"/>
      <c r="AK100" s="139"/>
      <c r="AL100" s="129"/>
    </row>
    <row r="101" spans="4:38" ht="15" hidden="1" x14ac:dyDescent="0.25">
      <c r="D101" s="159"/>
      <c r="E101" s="159"/>
      <c r="AK101" s="139"/>
      <c r="AL101" s="129"/>
    </row>
    <row r="102" spans="4:38" ht="15" hidden="1" x14ac:dyDescent="0.25">
      <c r="D102" s="159"/>
      <c r="E102" s="159"/>
      <c r="AK102" s="139"/>
      <c r="AL102" s="129"/>
    </row>
    <row r="103" spans="4:38" ht="15" hidden="1" x14ac:dyDescent="0.25">
      <c r="D103" s="160"/>
      <c r="E103" s="160"/>
      <c r="AK103" s="139"/>
      <c r="AL103" s="129"/>
    </row>
    <row r="104" spans="4:38" ht="15" hidden="1" x14ac:dyDescent="0.25">
      <c r="D104" s="161"/>
      <c r="E104" s="161"/>
      <c r="AK104" s="139"/>
      <c r="AL104" s="129"/>
    </row>
    <row r="105" spans="4:38" ht="15" hidden="1" x14ac:dyDescent="0.25">
      <c r="D105" s="159"/>
      <c r="E105" s="159"/>
      <c r="AK105" s="139"/>
      <c r="AL105" s="129"/>
    </row>
    <row r="106" spans="4:38" ht="15" hidden="1" x14ac:dyDescent="0.25">
      <c r="D106" s="159"/>
      <c r="E106" s="159"/>
      <c r="AK106" s="139"/>
      <c r="AL106" s="129"/>
    </row>
    <row r="107" spans="4:38" ht="15" hidden="1" x14ac:dyDescent="0.25">
      <c r="D107" s="159"/>
      <c r="E107" s="159"/>
      <c r="AK107" s="139"/>
      <c r="AL107" s="129"/>
    </row>
    <row r="108" spans="4:38" ht="15" hidden="1" x14ac:dyDescent="0.25">
      <c r="D108" s="159"/>
      <c r="E108" s="159"/>
      <c r="AK108" s="139"/>
      <c r="AL108" s="129"/>
    </row>
    <row r="109" spans="4:38" ht="15" hidden="1" x14ac:dyDescent="0.25">
      <c r="D109" s="159"/>
      <c r="E109" s="159"/>
      <c r="AK109" s="139"/>
      <c r="AL109" s="129"/>
    </row>
    <row r="110" spans="4:38" ht="15" hidden="1" x14ac:dyDescent="0.25">
      <c r="D110" s="159"/>
      <c r="E110" s="159"/>
      <c r="AK110" s="139"/>
      <c r="AL110" s="129"/>
    </row>
    <row r="111" spans="4:38" ht="15" hidden="1" x14ac:dyDescent="0.25">
      <c r="D111" s="159"/>
      <c r="E111" s="159"/>
      <c r="AK111" s="139"/>
      <c r="AL111" s="129"/>
    </row>
    <row r="112" spans="4:38" ht="15" hidden="1" x14ac:dyDescent="0.25">
      <c r="D112" s="159"/>
      <c r="E112" s="159"/>
      <c r="AK112" s="139"/>
      <c r="AL112" s="129"/>
    </row>
    <row r="113" spans="4:38" ht="15" hidden="1" x14ac:dyDescent="0.25">
      <c r="D113" s="159"/>
      <c r="E113" s="159"/>
      <c r="AK113" s="139"/>
      <c r="AL113" s="129"/>
    </row>
    <row r="114" spans="4:38" ht="15" hidden="1" x14ac:dyDescent="0.25">
      <c r="D114" s="159"/>
      <c r="E114" s="159"/>
      <c r="AK114" s="139"/>
      <c r="AL114" s="129"/>
    </row>
    <row r="115" spans="4:38" ht="15" hidden="1" x14ac:dyDescent="0.25">
      <c r="D115" s="159"/>
      <c r="E115" s="159"/>
      <c r="AK115" s="139"/>
      <c r="AL115" s="129"/>
    </row>
    <row r="116" spans="4:38" ht="15" hidden="1" x14ac:dyDescent="0.25">
      <c r="D116" s="159"/>
      <c r="E116" s="159"/>
      <c r="AK116" s="139"/>
      <c r="AL116" s="129"/>
    </row>
    <row r="117" spans="4:38" ht="15" hidden="1" x14ac:dyDescent="0.25">
      <c r="D117" s="159"/>
      <c r="E117" s="159"/>
      <c r="AK117" s="139"/>
      <c r="AL117" s="129"/>
    </row>
    <row r="118" spans="4:38" ht="15" hidden="1" x14ac:dyDescent="0.25">
      <c r="D118" s="159"/>
      <c r="E118" s="159"/>
      <c r="AK118" s="139"/>
      <c r="AL118" s="129"/>
    </row>
    <row r="119" spans="4:38" ht="15" hidden="1" x14ac:dyDescent="0.25">
      <c r="D119" s="159"/>
      <c r="E119" s="159"/>
      <c r="AK119" s="139"/>
      <c r="AL119" s="129"/>
    </row>
    <row r="120" spans="4:38" ht="15" hidden="1" x14ac:dyDescent="0.25">
      <c r="AK120" s="139"/>
      <c r="AL120" s="129"/>
    </row>
    <row r="121" spans="4:38" ht="15" hidden="1" x14ac:dyDescent="0.25">
      <c r="AK121" s="139"/>
      <c r="AL121" s="129"/>
    </row>
    <row r="122" spans="4:38" ht="15" hidden="1" x14ac:dyDescent="0.25">
      <c r="AK122" s="139"/>
      <c r="AL122" s="129"/>
    </row>
    <row r="123" spans="4:38" ht="15" hidden="1" x14ac:dyDescent="0.25">
      <c r="AK123" s="139"/>
      <c r="AL123" s="129"/>
    </row>
    <row r="124" spans="4:38" ht="15" hidden="1" x14ac:dyDescent="0.25">
      <c r="AK124" s="139"/>
      <c r="AL124" s="129"/>
    </row>
    <row r="125" spans="4:38" ht="15" hidden="1" x14ac:dyDescent="0.25">
      <c r="AK125" s="139"/>
      <c r="AL125" s="129"/>
    </row>
    <row r="126" spans="4:38" ht="15" hidden="1" x14ac:dyDescent="0.25">
      <c r="AK126" s="139"/>
      <c r="AL126" s="129"/>
    </row>
    <row r="127" spans="4:38" ht="15" hidden="1" x14ac:dyDescent="0.25">
      <c r="AK127" s="139"/>
      <c r="AL127" s="129"/>
    </row>
    <row r="128" spans="4:38" ht="15" hidden="1" x14ac:dyDescent="0.25">
      <c r="AK128" s="139"/>
      <c r="AL128" s="129"/>
    </row>
    <row r="129" spans="6:38" ht="15" hidden="1" x14ac:dyDescent="0.25">
      <c r="AK129" s="139"/>
      <c r="AL129" s="129"/>
    </row>
    <row r="130" spans="6:38" ht="15" hidden="1" x14ac:dyDescent="0.25">
      <c r="AK130" s="139"/>
      <c r="AL130" s="129"/>
    </row>
    <row r="131" spans="6:38" ht="15" hidden="1" x14ac:dyDescent="0.25">
      <c r="AK131" s="139"/>
      <c r="AL131" s="129"/>
    </row>
    <row r="132" spans="6:38" ht="15" hidden="1" x14ac:dyDescent="0.25">
      <c r="AK132" s="139"/>
      <c r="AL132" s="129"/>
    </row>
    <row r="133" spans="6:38" ht="15" hidden="1" x14ac:dyDescent="0.25">
      <c r="AK133" s="139"/>
      <c r="AL133" s="129"/>
    </row>
    <row r="134" spans="6:38" ht="15" hidden="1" x14ac:dyDescent="0.25">
      <c r="F134" s="129"/>
      <c r="G134" s="129"/>
      <c r="H134" s="129"/>
      <c r="I134" s="129"/>
      <c r="J134" s="129"/>
      <c r="K134" s="129"/>
      <c r="L134" s="129"/>
      <c r="M134" s="129"/>
      <c r="N134" s="129"/>
      <c r="O134" s="129"/>
      <c r="P134" s="129"/>
      <c r="Q134" s="129"/>
      <c r="R134" s="129"/>
      <c r="S134" s="129"/>
      <c r="T134" s="129"/>
      <c r="U134" s="129"/>
      <c r="V134" s="129"/>
      <c r="W134" s="129"/>
      <c r="X134" s="129"/>
      <c r="Y134" s="129"/>
      <c r="Z134" s="129"/>
      <c r="AA134" s="129"/>
      <c r="AB134" s="129"/>
      <c r="AC134" s="129"/>
      <c r="AD134" s="129"/>
      <c r="AE134" s="129"/>
      <c r="AF134" s="129"/>
      <c r="AG134" s="129"/>
      <c r="AH134" s="129"/>
      <c r="AI134" s="129"/>
      <c r="AK134" s="139"/>
      <c r="AL134" s="129"/>
    </row>
    <row r="135" spans="6:38" ht="15" hidden="1" x14ac:dyDescent="0.25">
      <c r="F135" s="129"/>
      <c r="G135" s="129"/>
      <c r="H135" s="129"/>
      <c r="I135" s="129"/>
      <c r="J135" s="129"/>
      <c r="K135" s="129"/>
      <c r="L135" s="129"/>
      <c r="M135" s="129"/>
      <c r="N135" s="129"/>
      <c r="O135" s="129"/>
      <c r="P135" s="129"/>
      <c r="Q135" s="129"/>
      <c r="R135" s="129"/>
      <c r="S135" s="129"/>
      <c r="T135" s="129"/>
      <c r="U135" s="129"/>
      <c r="V135" s="129"/>
      <c r="W135" s="129"/>
      <c r="X135" s="129"/>
      <c r="Y135" s="129"/>
      <c r="Z135" s="129"/>
      <c r="AA135" s="129"/>
      <c r="AB135" s="129"/>
      <c r="AC135" s="129"/>
      <c r="AD135" s="129"/>
      <c r="AE135" s="129"/>
      <c r="AF135" s="129"/>
      <c r="AG135" s="129"/>
      <c r="AH135" s="129"/>
      <c r="AI135" s="129"/>
      <c r="AK135" s="139"/>
      <c r="AL135" s="129"/>
    </row>
    <row r="136" spans="6:38" ht="15" hidden="1" x14ac:dyDescent="0.25">
      <c r="F136" s="129"/>
      <c r="G136" s="129"/>
      <c r="H136" s="129"/>
      <c r="I136" s="129"/>
      <c r="J136" s="129"/>
      <c r="K136" s="129"/>
      <c r="L136" s="129"/>
      <c r="M136" s="129"/>
      <c r="N136" s="129"/>
      <c r="O136" s="129"/>
      <c r="P136" s="129"/>
      <c r="Q136" s="129"/>
      <c r="R136" s="129"/>
      <c r="S136" s="129"/>
      <c r="T136" s="129"/>
      <c r="U136" s="129"/>
      <c r="V136" s="129"/>
      <c r="W136" s="129"/>
      <c r="X136" s="129"/>
      <c r="Y136" s="129"/>
      <c r="Z136" s="129"/>
      <c r="AA136" s="129"/>
      <c r="AB136" s="129"/>
      <c r="AC136" s="129"/>
      <c r="AD136" s="129"/>
      <c r="AE136" s="129"/>
      <c r="AF136" s="129"/>
      <c r="AG136" s="129"/>
      <c r="AH136" s="129"/>
      <c r="AI136" s="129"/>
      <c r="AK136" s="139"/>
      <c r="AL136" s="129"/>
    </row>
    <row r="137" spans="6:38" ht="15" hidden="1" x14ac:dyDescent="0.25">
      <c r="F137" s="129"/>
      <c r="G137" s="129"/>
      <c r="H137" s="129"/>
      <c r="I137" s="129"/>
      <c r="J137" s="129"/>
      <c r="K137" s="129"/>
      <c r="L137" s="129"/>
      <c r="M137" s="129"/>
      <c r="N137" s="129"/>
      <c r="O137" s="129"/>
      <c r="P137" s="129"/>
      <c r="Q137" s="129"/>
      <c r="R137" s="129"/>
      <c r="S137" s="129"/>
      <c r="T137" s="129"/>
      <c r="U137" s="129"/>
      <c r="V137" s="129"/>
      <c r="W137" s="129"/>
      <c r="X137" s="129"/>
      <c r="Y137" s="129"/>
      <c r="Z137" s="129"/>
      <c r="AA137" s="129"/>
      <c r="AB137" s="129"/>
      <c r="AC137" s="129"/>
      <c r="AD137" s="129"/>
      <c r="AE137" s="129"/>
      <c r="AF137" s="129"/>
      <c r="AG137" s="129"/>
      <c r="AH137" s="129"/>
      <c r="AI137" s="129"/>
      <c r="AK137" s="139"/>
      <c r="AL137" s="129"/>
    </row>
    <row r="138" spans="6:38" ht="15" hidden="1" x14ac:dyDescent="0.25">
      <c r="F138" s="129"/>
      <c r="G138" s="129"/>
      <c r="H138" s="129"/>
      <c r="I138" s="129"/>
      <c r="J138" s="129"/>
      <c r="K138" s="129"/>
      <c r="L138" s="129"/>
      <c r="M138" s="129"/>
      <c r="N138" s="129"/>
      <c r="O138" s="129"/>
      <c r="P138" s="129"/>
      <c r="Q138" s="129"/>
      <c r="R138" s="129"/>
      <c r="S138" s="129"/>
      <c r="T138" s="129"/>
      <c r="U138" s="129"/>
      <c r="V138" s="129"/>
      <c r="W138" s="129"/>
      <c r="X138" s="129"/>
      <c r="Y138" s="129"/>
      <c r="Z138" s="129"/>
      <c r="AA138" s="129"/>
      <c r="AB138" s="129"/>
      <c r="AC138" s="129"/>
      <c r="AD138" s="129"/>
      <c r="AE138" s="129"/>
      <c r="AF138" s="129"/>
      <c r="AG138" s="129"/>
      <c r="AH138" s="129"/>
      <c r="AI138" s="129"/>
      <c r="AK138" s="139"/>
      <c r="AL138" s="129"/>
    </row>
    <row r="139" spans="6:38" ht="15" hidden="1" x14ac:dyDescent="0.25">
      <c r="F139" s="129"/>
      <c r="G139" s="129"/>
      <c r="H139" s="129"/>
      <c r="I139" s="129"/>
      <c r="J139" s="129"/>
      <c r="K139" s="129"/>
      <c r="L139" s="129"/>
      <c r="M139" s="129"/>
      <c r="N139" s="129"/>
      <c r="O139" s="129"/>
      <c r="P139" s="129"/>
      <c r="Q139" s="129"/>
      <c r="R139" s="129"/>
      <c r="S139" s="129"/>
      <c r="T139" s="129"/>
      <c r="U139" s="129"/>
      <c r="V139" s="129"/>
      <c r="W139" s="129"/>
      <c r="X139" s="129"/>
      <c r="Y139" s="129"/>
      <c r="Z139" s="129"/>
      <c r="AA139" s="129"/>
      <c r="AB139" s="129"/>
      <c r="AC139" s="129"/>
      <c r="AD139" s="129"/>
      <c r="AE139" s="129"/>
      <c r="AF139" s="129"/>
      <c r="AG139" s="129"/>
      <c r="AH139" s="129"/>
      <c r="AI139" s="129"/>
      <c r="AK139" s="139"/>
      <c r="AL139" s="129"/>
    </row>
    <row r="140" spans="6:38" ht="15" hidden="1" x14ac:dyDescent="0.25">
      <c r="F140" s="129"/>
      <c r="G140" s="129"/>
      <c r="H140" s="129"/>
      <c r="I140" s="129"/>
      <c r="J140" s="129"/>
      <c r="K140" s="129"/>
      <c r="L140" s="129"/>
      <c r="M140" s="129"/>
      <c r="N140" s="129"/>
      <c r="O140" s="129"/>
      <c r="P140" s="129"/>
      <c r="Q140" s="129"/>
      <c r="R140" s="129"/>
      <c r="S140" s="129"/>
      <c r="T140" s="129"/>
      <c r="U140" s="129"/>
      <c r="V140" s="129"/>
      <c r="W140" s="129"/>
      <c r="X140" s="129"/>
      <c r="Y140" s="129"/>
      <c r="Z140" s="129"/>
      <c r="AA140" s="129"/>
      <c r="AB140" s="129"/>
      <c r="AC140" s="129"/>
      <c r="AD140" s="129"/>
      <c r="AE140" s="129"/>
      <c r="AF140" s="129"/>
      <c r="AG140" s="129"/>
      <c r="AH140" s="129"/>
      <c r="AI140" s="129"/>
      <c r="AK140" s="139"/>
      <c r="AL140" s="129"/>
    </row>
    <row r="141" spans="6:38" ht="15" hidden="1" x14ac:dyDescent="0.25">
      <c r="F141" s="129"/>
      <c r="G141" s="129"/>
      <c r="H141" s="129"/>
      <c r="I141" s="129"/>
      <c r="J141" s="129"/>
      <c r="K141" s="129"/>
      <c r="L141" s="129"/>
      <c r="M141" s="129"/>
      <c r="N141" s="129"/>
      <c r="O141" s="129"/>
      <c r="P141" s="129"/>
      <c r="Q141" s="129"/>
      <c r="R141" s="129"/>
      <c r="S141" s="129"/>
      <c r="T141" s="129"/>
      <c r="U141" s="129"/>
      <c r="V141" s="129"/>
      <c r="W141" s="129"/>
      <c r="X141" s="129"/>
      <c r="Y141" s="129"/>
      <c r="Z141" s="129"/>
      <c r="AA141" s="129"/>
      <c r="AB141" s="129"/>
      <c r="AC141" s="129"/>
      <c r="AD141" s="129"/>
      <c r="AE141" s="129"/>
      <c r="AF141" s="129"/>
      <c r="AG141" s="129"/>
      <c r="AH141" s="129"/>
      <c r="AI141" s="129"/>
      <c r="AK141" s="139"/>
      <c r="AL141" s="129"/>
    </row>
    <row r="142" spans="6:38" ht="15" hidden="1" x14ac:dyDescent="0.25">
      <c r="F142" s="129"/>
      <c r="G142" s="129"/>
      <c r="H142" s="129"/>
      <c r="I142" s="129"/>
      <c r="J142" s="129"/>
      <c r="K142" s="129"/>
      <c r="L142" s="129"/>
      <c r="M142" s="129"/>
      <c r="N142" s="129"/>
      <c r="O142" s="129"/>
      <c r="P142" s="129"/>
      <c r="Q142" s="129"/>
      <c r="R142" s="129"/>
      <c r="S142" s="129"/>
      <c r="T142" s="129"/>
      <c r="U142" s="129"/>
      <c r="V142" s="129"/>
      <c r="W142" s="129"/>
      <c r="X142" s="129"/>
      <c r="Y142" s="129"/>
      <c r="Z142" s="129"/>
      <c r="AA142" s="129"/>
      <c r="AB142" s="129"/>
      <c r="AC142" s="129"/>
      <c r="AD142" s="129"/>
      <c r="AE142" s="129"/>
      <c r="AF142" s="129"/>
      <c r="AG142" s="129"/>
      <c r="AH142" s="129"/>
      <c r="AI142" s="129"/>
      <c r="AK142" s="139"/>
      <c r="AL142" s="129"/>
    </row>
    <row r="143" spans="6:38" ht="15" hidden="1" x14ac:dyDescent="0.25">
      <c r="F143" s="129"/>
      <c r="G143" s="129"/>
      <c r="H143" s="129"/>
      <c r="I143" s="129"/>
      <c r="J143" s="129"/>
      <c r="K143" s="129"/>
      <c r="L143" s="129"/>
      <c r="M143" s="129"/>
      <c r="N143" s="129"/>
      <c r="O143" s="129"/>
      <c r="P143" s="129"/>
      <c r="Q143" s="129"/>
      <c r="R143" s="129"/>
      <c r="S143" s="129"/>
      <c r="T143" s="129"/>
      <c r="U143" s="129"/>
      <c r="V143" s="129"/>
      <c r="W143" s="129"/>
      <c r="X143" s="129"/>
      <c r="Y143" s="129"/>
      <c r="Z143" s="129"/>
      <c r="AA143" s="129"/>
      <c r="AB143" s="129"/>
      <c r="AC143" s="129"/>
      <c r="AD143" s="129"/>
      <c r="AE143" s="129"/>
      <c r="AF143" s="129"/>
      <c r="AG143" s="129"/>
      <c r="AH143" s="129"/>
      <c r="AI143" s="129"/>
      <c r="AK143" s="139"/>
      <c r="AL143" s="129"/>
    </row>
    <row r="144" spans="6:38" ht="15" hidden="1" x14ac:dyDescent="0.25">
      <c r="F144" s="129"/>
      <c r="G144" s="129"/>
      <c r="H144" s="129"/>
      <c r="I144" s="129"/>
      <c r="J144" s="129"/>
      <c r="K144" s="129"/>
      <c r="L144" s="129"/>
      <c r="M144" s="129"/>
      <c r="N144" s="129"/>
      <c r="O144" s="129"/>
      <c r="P144" s="129"/>
      <c r="Q144" s="129"/>
      <c r="R144" s="129"/>
      <c r="S144" s="129"/>
      <c r="T144" s="129"/>
      <c r="U144" s="129"/>
      <c r="V144" s="129"/>
      <c r="W144" s="129"/>
      <c r="X144" s="129"/>
      <c r="Y144" s="129"/>
      <c r="Z144" s="129"/>
      <c r="AA144" s="129"/>
      <c r="AB144" s="129"/>
      <c r="AC144" s="129"/>
      <c r="AD144" s="129"/>
      <c r="AE144" s="129"/>
      <c r="AF144" s="129"/>
      <c r="AG144" s="129"/>
      <c r="AH144" s="129"/>
      <c r="AI144" s="129"/>
      <c r="AK144" s="139"/>
      <c r="AL144" s="129"/>
    </row>
    <row r="145" spans="6:38" ht="15" hidden="1" x14ac:dyDescent="0.25">
      <c r="F145" s="129"/>
      <c r="G145" s="129"/>
      <c r="H145" s="129"/>
      <c r="I145" s="129"/>
      <c r="J145" s="129"/>
      <c r="K145" s="129"/>
      <c r="L145" s="129"/>
      <c r="M145" s="129"/>
      <c r="N145" s="129"/>
      <c r="O145" s="129"/>
      <c r="P145" s="129"/>
      <c r="Q145" s="129"/>
      <c r="R145" s="129"/>
      <c r="S145" s="129"/>
      <c r="T145" s="129"/>
      <c r="U145" s="129"/>
      <c r="V145" s="129"/>
      <c r="W145" s="129"/>
      <c r="X145" s="129"/>
      <c r="Y145" s="129"/>
      <c r="Z145" s="129"/>
      <c r="AA145" s="129"/>
      <c r="AB145" s="129"/>
      <c r="AC145" s="129"/>
      <c r="AD145" s="129"/>
      <c r="AE145" s="129"/>
      <c r="AF145" s="129"/>
      <c r="AG145" s="129"/>
      <c r="AH145" s="129"/>
      <c r="AI145" s="129"/>
      <c r="AK145" s="139"/>
      <c r="AL145" s="129"/>
    </row>
    <row r="146" spans="6:38" ht="15" hidden="1" x14ac:dyDescent="0.25">
      <c r="F146" s="129"/>
      <c r="G146" s="129"/>
      <c r="H146" s="129"/>
      <c r="I146" s="129"/>
      <c r="J146" s="129"/>
      <c r="K146" s="129"/>
      <c r="L146" s="129"/>
      <c r="M146" s="129"/>
      <c r="N146" s="129"/>
      <c r="O146" s="129"/>
      <c r="P146" s="129"/>
      <c r="Q146" s="129"/>
      <c r="R146" s="129"/>
      <c r="S146" s="129"/>
      <c r="T146" s="129"/>
      <c r="U146" s="129"/>
      <c r="V146" s="129"/>
      <c r="W146" s="129"/>
      <c r="X146" s="129"/>
      <c r="Y146" s="129"/>
      <c r="Z146" s="129"/>
      <c r="AA146" s="129"/>
      <c r="AB146" s="129"/>
      <c r="AC146" s="129"/>
      <c r="AD146" s="129"/>
      <c r="AE146" s="129"/>
      <c r="AF146" s="129"/>
      <c r="AG146" s="129"/>
      <c r="AH146" s="129"/>
      <c r="AI146" s="129"/>
      <c r="AK146" s="139"/>
      <c r="AL146" s="129"/>
    </row>
    <row r="147" spans="6:38" ht="15" hidden="1" x14ac:dyDescent="0.25">
      <c r="F147" s="129"/>
      <c r="G147" s="129"/>
      <c r="H147" s="129"/>
      <c r="I147" s="129"/>
      <c r="J147" s="129"/>
      <c r="K147" s="129"/>
      <c r="L147" s="129"/>
      <c r="M147" s="129"/>
      <c r="N147" s="129"/>
      <c r="O147" s="129"/>
      <c r="P147" s="129"/>
      <c r="Q147" s="129"/>
      <c r="R147" s="129"/>
      <c r="S147" s="129"/>
      <c r="T147" s="129"/>
      <c r="U147" s="129"/>
      <c r="V147" s="129"/>
      <c r="W147" s="129"/>
      <c r="X147" s="129"/>
      <c r="Y147" s="129"/>
      <c r="Z147" s="129"/>
      <c r="AA147" s="129"/>
      <c r="AB147" s="129"/>
      <c r="AC147" s="129"/>
      <c r="AD147" s="129"/>
      <c r="AE147" s="129"/>
      <c r="AF147" s="129"/>
      <c r="AG147" s="129"/>
      <c r="AH147" s="129"/>
      <c r="AI147" s="129"/>
      <c r="AK147" s="139"/>
      <c r="AL147" s="129"/>
    </row>
    <row r="148" spans="6:38" ht="15" hidden="1" x14ac:dyDescent="0.25">
      <c r="F148" s="129"/>
      <c r="G148" s="129"/>
      <c r="H148" s="129"/>
      <c r="I148" s="129"/>
      <c r="J148" s="129"/>
      <c r="K148" s="129"/>
      <c r="L148" s="129"/>
      <c r="M148" s="129"/>
      <c r="N148" s="129"/>
      <c r="O148" s="129"/>
      <c r="P148" s="129"/>
      <c r="Q148" s="129"/>
      <c r="R148" s="129"/>
      <c r="S148" s="129"/>
      <c r="T148" s="129"/>
      <c r="U148" s="129"/>
      <c r="V148" s="129"/>
      <c r="W148" s="129"/>
      <c r="X148" s="129"/>
      <c r="Y148" s="129"/>
      <c r="Z148" s="129"/>
      <c r="AA148" s="129"/>
      <c r="AB148" s="129"/>
      <c r="AC148" s="129"/>
      <c r="AD148" s="129"/>
      <c r="AE148" s="129"/>
      <c r="AF148" s="129"/>
      <c r="AG148" s="129"/>
      <c r="AH148" s="129"/>
      <c r="AI148" s="129"/>
      <c r="AK148" s="139"/>
      <c r="AL148" s="129"/>
    </row>
    <row r="149" spans="6:38" ht="15" hidden="1" x14ac:dyDescent="0.25">
      <c r="F149" s="129"/>
      <c r="G149" s="129"/>
      <c r="H149" s="129"/>
      <c r="I149" s="129"/>
      <c r="J149" s="129"/>
      <c r="K149" s="129"/>
      <c r="L149" s="129"/>
      <c r="M149" s="129"/>
      <c r="N149" s="129"/>
      <c r="O149" s="129"/>
      <c r="P149" s="129"/>
      <c r="Q149" s="129"/>
      <c r="R149" s="129"/>
      <c r="S149" s="129"/>
      <c r="T149" s="129"/>
      <c r="U149" s="129"/>
      <c r="V149" s="129"/>
      <c r="W149" s="129"/>
      <c r="X149" s="129"/>
      <c r="Y149" s="129"/>
      <c r="Z149" s="129"/>
      <c r="AA149" s="129"/>
      <c r="AB149" s="129"/>
      <c r="AC149" s="129"/>
      <c r="AD149" s="129"/>
      <c r="AE149" s="129"/>
      <c r="AF149" s="129"/>
      <c r="AG149" s="129"/>
      <c r="AH149" s="129"/>
      <c r="AI149" s="129"/>
      <c r="AK149" s="139"/>
      <c r="AL149" s="129"/>
    </row>
    <row r="150" spans="6:38" ht="15" hidden="1" x14ac:dyDescent="0.25">
      <c r="F150" s="129"/>
      <c r="G150" s="129"/>
      <c r="H150" s="129"/>
      <c r="I150" s="129"/>
      <c r="J150" s="129"/>
      <c r="K150" s="129"/>
      <c r="L150" s="129"/>
      <c r="M150" s="129"/>
      <c r="N150" s="129"/>
      <c r="O150" s="129"/>
      <c r="P150" s="129"/>
      <c r="Q150" s="129"/>
      <c r="R150" s="129"/>
      <c r="S150" s="129"/>
      <c r="T150" s="129"/>
      <c r="U150" s="129"/>
      <c r="V150" s="129"/>
      <c r="W150" s="129"/>
      <c r="X150" s="129"/>
      <c r="Y150" s="129"/>
      <c r="Z150" s="129"/>
      <c r="AA150" s="129"/>
      <c r="AB150" s="129"/>
      <c r="AC150" s="129"/>
      <c r="AD150" s="129"/>
      <c r="AE150" s="129"/>
      <c r="AF150" s="129"/>
      <c r="AG150" s="129"/>
      <c r="AH150" s="129"/>
      <c r="AI150" s="129"/>
      <c r="AK150" s="139"/>
      <c r="AL150" s="129"/>
    </row>
    <row r="151" spans="6:38" ht="15" hidden="1" x14ac:dyDescent="0.25">
      <c r="F151" s="129"/>
      <c r="G151" s="129"/>
      <c r="H151" s="129"/>
      <c r="I151" s="129"/>
      <c r="J151" s="129"/>
      <c r="K151" s="129"/>
      <c r="L151" s="129"/>
      <c r="M151" s="129"/>
      <c r="N151" s="129"/>
      <c r="O151" s="129"/>
      <c r="P151" s="129"/>
      <c r="Q151" s="129"/>
      <c r="R151" s="129"/>
      <c r="S151" s="129"/>
      <c r="T151" s="129"/>
      <c r="U151" s="129"/>
      <c r="V151" s="129"/>
      <c r="W151" s="129"/>
      <c r="X151" s="129"/>
      <c r="Y151" s="129"/>
      <c r="Z151" s="129"/>
      <c r="AA151" s="129"/>
      <c r="AB151" s="129"/>
      <c r="AC151" s="129"/>
      <c r="AD151" s="129"/>
      <c r="AE151" s="129"/>
      <c r="AF151" s="129"/>
      <c r="AG151" s="129"/>
      <c r="AH151" s="129"/>
      <c r="AI151" s="129"/>
      <c r="AK151" s="139"/>
      <c r="AL151" s="129"/>
    </row>
    <row r="152" spans="6:38" ht="15" hidden="1" x14ac:dyDescent="0.25">
      <c r="F152" s="129"/>
      <c r="G152" s="129"/>
      <c r="H152" s="129"/>
      <c r="I152" s="129"/>
      <c r="J152" s="129"/>
      <c r="K152" s="129"/>
      <c r="L152" s="129"/>
      <c r="M152" s="129"/>
      <c r="N152" s="129"/>
      <c r="O152" s="129"/>
      <c r="P152" s="129"/>
      <c r="Q152" s="129"/>
      <c r="R152" s="129"/>
      <c r="S152" s="129"/>
      <c r="T152" s="129"/>
      <c r="U152" s="129"/>
      <c r="V152" s="129"/>
      <c r="W152" s="129"/>
      <c r="X152" s="129"/>
      <c r="Y152" s="129"/>
      <c r="Z152" s="129"/>
      <c r="AA152" s="129"/>
      <c r="AB152" s="129"/>
      <c r="AC152" s="129"/>
      <c r="AD152" s="129"/>
      <c r="AE152" s="129"/>
      <c r="AF152" s="129"/>
      <c r="AG152" s="129"/>
      <c r="AH152" s="129"/>
      <c r="AI152" s="129"/>
      <c r="AK152" s="139"/>
      <c r="AL152" s="129"/>
    </row>
    <row r="153" spans="6:38" ht="15" hidden="1" x14ac:dyDescent="0.25">
      <c r="F153" s="129"/>
      <c r="G153" s="129"/>
      <c r="H153" s="129"/>
      <c r="I153" s="129"/>
      <c r="J153" s="129"/>
      <c r="K153" s="129"/>
      <c r="L153" s="129"/>
      <c r="M153" s="129"/>
      <c r="N153" s="129"/>
      <c r="O153" s="129"/>
      <c r="P153" s="129"/>
      <c r="Q153" s="129"/>
      <c r="R153" s="129"/>
      <c r="S153" s="129"/>
      <c r="T153" s="129"/>
      <c r="U153" s="129"/>
      <c r="V153" s="129"/>
      <c r="W153" s="129"/>
      <c r="X153" s="129"/>
      <c r="Y153" s="129"/>
      <c r="Z153" s="129"/>
      <c r="AA153" s="129"/>
      <c r="AB153" s="129"/>
      <c r="AC153" s="129"/>
      <c r="AD153" s="129"/>
      <c r="AE153" s="129"/>
      <c r="AF153" s="129"/>
      <c r="AG153" s="129"/>
      <c r="AH153" s="129"/>
      <c r="AI153" s="129"/>
      <c r="AK153" s="139"/>
      <c r="AL153" s="129"/>
    </row>
    <row r="154" spans="6:38" ht="15" hidden="1" x14ac:dyDescent="0.25">
      <c r="F154" s="129"/>
      <c r="G154" s="129"/>
      <c r="H154" s="129"/>
      <c r="I154" s="129"/>
      <c r="J154" s="129"/>
      <c r="K154" s="129"/>
      <c r="L154" s="129"/>
      <c r="M154" s="129"/>
      <c r="N154" s="129"/>
      <c r="O154" s="129"/>
      <c r="P154" s="129"/>
      <c r="Q154" s="129"/>
      <c r="R154" s="129"/>
      <c r="S154" s="129"/>
      <c r="T154" s="129"/>
      <c r="U154" s="129"/>
      <c r="V154" s="129"/>
      <c r="W154" s="129"/>
      <c r="X154" s="129"/>
      <c r="Y154" s="129"/>
      <c r="Z154" s="129"/>
      <c r="AA154" s="129"/>
      <c r="AB154" s="129"/>
      <c r="AC154" s="129"/>
      <c r="AD154" s="129"/>
      <c r="AE154" s="129"/>
      <c r="AF154" s="129"/>
      <c r="AG154" s="129"/>
      <c r="AH154" s="129"/>
      <c r="AI154" s="129"/>
      <c r="AK154" s="139"/>
      <c r="AL154" s="129"/>
    </row>
    <row r="155" spans="6:38" ht="15" hidden="1" x14ac:dyDescent="0.25">
      <c r="F155" s="129"/>
      <c r="G155" s="129"/>
      <c r="H155" s="129"/>
      <c r="I155" s="129"/>
      <c r="J155" s="129"/>
      <c r="K155" s="129"/>
      <c r="L155" s="129"/>
      <c r="M155" s="129"/>
      <c r="N155" s="129"/>
      <c r="O155" s="129"/>
      <c r="P155" s="129"/>
      <c r="Q155" s="129"/>
      <c r="R155" s="129"/>
      <c r="S155" s="129"/>
      <c r="T155" s="129"/>
      <c r="U155" s="129"/>
      <c r="V155" s="129"/>
      <c r="W155" s="129"/>
      <c r="X155" s="129"/>
      <c r="Y155" s="129"/>
      <c r="Z155" s="129"/>
      <c r="AA155" s="129"/>
      <c r="AB155" s="129"/>
      <c r="AC155" s="129"/>
      <c r="AD155" s="129"/>
      <c r="AE155" s="129"/>
      <c r="AF155" s="129"/>
      <c r="AG155" s="129"/>
      <c r="AH155" s="129"/>
      <c r="AI155" s="129"/>
      <c r="AK155" s="139"/>
      <c r="AL155" s="129"/>
    </row>
    <row r="156" spans="6:38" ht="15" hidden="1" x14ac:dyDescent="0.25">
      <c r="F156" s="129"/>
      <c r="G156" s="129"/>
      <c r="H156" s="129"/>
      <c r="I156" s="129"/>
      <c r="J156" s="129"/>
      <c r="K156" s="129"/>
      <c r="L156" s="129"/>
      <c r="M156" s="129"/>
      <c r="N156" s="129"/>
      <c r="O156" s="129"/>
      <c r="P156" s="129"/>
      <c r="Q156" s="129"/>
      <c r="R156" s="129"/>
      <c r="S156" s="129"/>
      <c r="T156" s="129"/>
      <c r="U156" s="129"/>
      <c r="V156" s="129"/>
      <c r="W156" s="129"/>
      <c r="X156" s="129"/>
      <c r="Y156" s="129"/>
      <c r="Z156" s="129"/>
      <c r="AA156" s="129"/>
      <c r="AB156" s="129"/>
      <c r="AC156" s="129"/>
      <c r="AD156" s="129"/>
      <c r="AE156" s="129"/>
      <c r="AF156" s="129"/>
      <c r="AG156" s="129"/>
      <c r="AH156" s="129"/>
      <c r="AI156" s="129"/>
      <c r="AK156" s="139"/>
      <c r="AL156" s="129"/>
    </row>
    <row r="157" spans="6:38" ht="15" hidden="1" x14ac:dyDescent="0.25">
      <c r="F157" s="129"/>
      <c r="G157" s="129"/>
      <c r="H157" s="129"/>
      <c r="I157" s="129"/>
      <c r="J157" s="129"/>
      <c r="K157" s="129"/>
      <c r="L157" s="129"/>
      <c r="M157" s="129"/>
      <c r="N157" s="129"/>
      <c r="O157" s="129"/>
      <c r="P157" s="129"/>
      <c r="Q157" s="129"/>
      <c r="R157" s="129"/>
      <c r="S157" s="129"/>
      <c r="T157" s="129"/>
      <c r="U157" s="129"/>
      <c r="V157" s="129"/>
      <c r="W157" s="129"/>
      <c r="X157" s="129"/>
      <c r="Y157" s="129"/>
      <c r="Z157" s="129"/>
      <c r="AA157" s="129"/>
      <c r="AB157" s="129"/>
      <c r="AC157" s="129"/>
      <c r="AD157" s="129"/>
      <c r="AE157" s="129"/>
      <c r="AF157" s="129"/>
      <c r="AG157" s="129"/>
      <c r="AH157" s="129"/>
      <c r="AI157" s="129"/>
      <c r="AK157" s="139"/>
      <c r="AL157" s="129"/>
    </row>
    <row r="158" spans="6:38" ht="15" hidden="1" x14ac:dyDescent="0.25">
      <c r="F158" s="129"/>
      <c r="G158" s="129"/>
      <c r="H158" s="129"/>
      <c r="I158" s="129"/>
      <c r="J158" s="129"/>
      <c r="K158" s="129"/>
      <c r="L158" s="129"/>
      <c r="M158" s="129"/>
      <c r="N158" s="129"/>
      <c r="O158" s="129"/>
      <c r="P158" s="129"/>
      <c r="Q158" s="129"/>
      <c r="R158" s="129"/>
      <c r="S158" s="129"/>
      <c r="T158" s="129"/>
      <c r="U158" s="129"/>
      <c r="V158" s="129"/>
      <c r="W158" s="129"/>
      <c r="X158" s="129"/>
      <c r="Y158" s="129"/>
      <c r="Z158" s="129"/>
      <c r="AA158" s="129"/>
      <c r="AB158" s="129"/>
      <c r="AC158" s="129"/>
      <c r="AD158" s="129"/>
      <c r="AE158" s="129"/>
      <c r="AF158" s="129"/>
      <c r="AG158" s="129"/>
      <c r="AH158" s="129"/>
      <c r="AI158" s="129"/>
      <c r="AK158" s="139"/>
      <c r="AL158" s="129"/>
    </row>
    <row r="159" spans="6:38" ht="15" hidden="1" x14ac:dyDescent="0.25">
      <c r="F159" s="129"/>
      <c r="G159" s="129"/>
      <c r="H159" s="129"/>
      <c r="I159" s="129"/>
      <c r="J159" s="129"/>
      <c r="K159" s="129"/>
      <c r="L159" s="129"/>
      <c r="M159" s="129"/>
      <c r="N159" s="129"/>
      <c r="O159" s="129"/>
      <c r="P159" s="129"/>
      <c r="Q159" s="129"/>
      <c r="R159" s="129"/>
      <c r="S159" s="129"/>
      <c r="T159" s="129"/>
      <c r="U159" s="129"/>
      <c r="V159" s="129"/>
      <c r="W159" s="129"/>
      <c r="X159" s="129"/>
      <c r="Y159" s="129"/>
      <c r="Z159" s="129"/>
      <c r="AA159" s="129"/>
      <c r="AB159" s="129"/>
      <c r="AC159" s="129"/>
      <c r="AD159" s="129"/>
      <c r="AE159" s="129"/>
      <c r="AF159" s="129"/>
      <c r="AG159" s="129"/>
      <c r="AH159" s="129"/>
      <c r="AI159" s="129"/>
      <c r="AK159" s="139"/>
      <c r="AL159" s="129"/>
    </row>
    <row r="160" spans="6:38" ht="15" hidden="1" x14ac:dyDescent="0.25">
      <c r="F160" s="129"/>
      <c r="G160" s="129"/>
      <c r="H160" s="129"/>
      <c r="I160" s="129"/>
      <c r="J160" s="129"/>
      <c r="K160" s="129"/>
      <c r="L160" s="129"/>
      <c r="M160" s="129"/>
      <c r="N160" s="129"/>
      <c r="O160" s="129"/>
      <c r="P160" s="129"/>
      <c r="Q160" s="129"/>
      <c r="R160" s="129"/>
      <c r="S160" s="129"/>
      <c r="T160" s="129"/>
      <c r="U160" s="129"/>
      <c r="V160" s="129"/>
      <c r="W160" s="129"/>
      <c r="X160" s="129"/>
      <c r="Y160" s="129"/>
      <c r="Z160" s="129"/>
      <c r="AA160" s="129"/>
      <c r="AB160" s="129"/>
      <c r="AC160" s="129"/>
      <c r="AD160" s="129"/>
      <c r="AE160" s="129"/>
      <c r="AF160" s="129"/>
      <c r="AG160" s="129"/>
      <c r="AH160" s="129"/>
      <c r="AI160" s="129"/>
      <c r="AK160" s="139"/>
      <c r="AL160" s="129"/>
    </row>
    <row r="161" spans="6:38" ht="15" hidden="1" x14ac:dyDescent="0.25">
      <c r="F161" s="129"/>
      <c r="G161" s="129"/>
      <c r="H161" s="129"/>
      <c r="I161" s="129"/>
      <c r="J161" s="129"/>
      <c r="K161" s="129"/>
      <c r="L161" s="129"/>
      <c r="M161" s="129"/>
      <c r="N161" s="129"/>
      <c r="O161" s="129"/>
      <c r="P161" s="129"/>
      <c r="Q161" s="129"/>
      <c r="R161" s="129"/>
      <c r="S161" s="129"/>
      <c r="T161" s="129"/>
      <c r="U161" s="129"/>
      <c r="V161" s="129"/>
      <c r="W161" s="129"/>
      <c r="X161" s="129"/>
      <c r="Y161" s="129"/>
      <c r="Z161" s="129"/>
      <c r="AA161" s="129"/>
      <c r="AB161" s="129"/>
      <c r="AC161" s="129"/>
      <c r="AD161" s="129"/>
      <c r="AE161" s="129"/>
      <c r="AF161" s="129"/>
      <c r="AG161" s="129"/>
      <c r="AH161" s="129"/>
      <c r="AI161" s="129"/>
      <c r="AK161" s="139"/>
      <c r="AL161" s="129"/>
    </row>
    <row r="162" spans="6:38" ht="15" hidden="1" x14ac:dyDescent="0.25">
      <c r="F162" s="129"/>
      <c r="G162" s="129"/>
      <c r="H162" s="129"/>
      <c r="I162" s="129"/>
      <c r="J162" s="129"/>
      <c r="K162" s="129"/>
      <c r="L162" s="129"/>
      <c r="M162" s="129"/>
      <c r="N162" s="129"/>
      <c r="O162" s="129"/>
      <c r="P162" s="129"/>
      <c r="Q162" s="129"/>
      <c r="R162" s="129"/>
      <c r="S162" s="129"/>
      <c r="T162" s="129"/>
      <c r="U162" s="129"/>
      <c r="V162" s="129"/>
      <c r="W162" s="129"/>
      <c r="X162" s="129"/>
      <c r="Y162" s="129"/>
      <c r="Z162" s="129"/>
      <c r="AA162" s="129"/>
      <c r="AB162" s="129"/>
      <c r="AC162" s="129"/>
      <c r="AD162" s="129"/>
      <c r="AE162" s="129"/>
      <c r="AF162" s="129"/>
      <c r="AG162" s="129"/>
      <c r="AH162" s="129"/>
      <c r="AI162" s="129"/>
      <c r="AK162" s="139"/>
      <c r="AL162" s="129"/>
    </row>
    <row r="163" spans="6:38" ht="15" hidden="1" x14ac:dyDescent="0.25">
      <c r="F163" s="129"/>
      <c r="G163" s="129"/>
      <c r="H163" s="129"/>
      <c r="I163" s="129"/>
      <c r="J163" s="129"/>
      <c r="K163" s="129"/>
      <c r="L163" s="129"/>
      <c r="M163" s="129"/>
      <c r="N163" s="129"/>
      <c r="O163" s="129"/>
      <c r="P163" s="129"/>
      <c r="Q163" s="129"/>
      <c r="R163" s="129"/>
      <c r="S163" s="129"/>
      <c r="T163" s="129"/>
      <c r="U163" s="129"/>
      <c r="V163" s="129"/>
      <c r="W163" s="129"/>
      <c r="X163" s="129"/>
      <c r="Y163" s="129"/>
      <c r="Z163" s="129"/>
      <c r="AA163" s="129"/>
      <c r="AB163" s="129"/>
      <c r="AC163" s="129"/>
      <c r="AD163" s="129"/>
      <c r="AE163" s="129"/>
      <c r="AF163" s="129"/>
      <c r="AG163" s="129"/>
      <c r="AH163" s="129"/>
      <c r="AI163" s="129"/>
      <c r="AK163" s="139"/>
      <c r="AL163" s="129"/>
    </row>
    <row r="164" spans="6:38" ht="15" hidden="1" x14ac:dyDescent="0.25">
      <c r="F164" s="129"/>
      <c r="G164" s="129"/>
      <c r="H164" s="129"/>
      <c r="I164" s="129"/>
      <c r="J164" s="129"/>
      <c r="K164" s="129"/>
      <c r="L164" s="129"/>
      <c r="M164" s="129"/>
      <c r="N164" s="129"/>
      <c r="O164" s="129"/>
      <c r="P164" s="129"/>
      <c r="Q164" s="129"/>
      <c r="R164" s="129"/>
      <c r="S164" s="129"/>
      <c r="T164" s="129"/>
      <c r="U164" s="129"/>
      <c r="V164" s="129"/>
      <c r="W164" s="129"/>
      <c r="X164" s="129"/>
      <c r="Y164" s="129"/>
      <c r="Z164" s="129"/>
      <c r="AA164" s="129"/>
      <c r="AB164" s="129"/>
      <c r="AC164" s="129"/>
      <c r="AD164" s="129"/>
      <c r="AE164" s="129"/>
      <c r="AF164" s="129"/>
      <c r="AG164" s="129"/>
      <c r="AH164" s="129"/>
      <c r="AI164" s="129"/>
      <c r="AK164" s="139"/>
      <c r="AL164" s="129"/>
    </row>
    <row r="165" spans="6:38" ht="15" hidden="1" x14ac:dyDescent="0.25">
      <c r="F165" s="129"/>
      <c r="G165" s="129"/>
      <c r="H165" s="129"/>
      <c r="I165" s="129"/>
      <c r="J165" s="129"/>
      <c r="K165" s="129"/>
      <c r="L165" s="129"/>
      <c r="M165" s="129"/>
      <c r="N165" s="129"/>
      <c r="O165" s="129"/>
      <c r="P165" s="129"/>
      <c r="Q165" s="129"/>
      <c r="R165" s="129"/>
      <c r="S165" s="129"/>
      <c r="T165" s="129"/>
      <c r="U165" s="129"/>
      <c r="V165" s="129"/>
      <c r="W165" s="129"/>
      <c r="X165" s="129"/>
      <c r="Y165" s="129"/>
      <c r="Z165" s="129"/>
      <c r="AA165" s="129"/>
      <c r="AB165" s="129"/>
      <c r="AC165" s="129"/>
      <c r="AD165" s="129"/>
      <c r="AE165" s="129"/>
      <c r="AF165" s="129"/>
      <c r="AG165" s="129"/>
      <c r="AH165" s="129"/>
      <c r="AI165" s="129"/>
      <c r="AK165" s="139"/>
      <c r="AL165" s="129"/>
    </row>
    <row r="166" spans="6:38" ht="15" hidden="1" x14ac:dyDescent="0.25">
      <c r="F166" s="129"/>
      <c r="G166" s="129"/>
      <c r="H166" s="129"/>
      <c r="I166" s="129"/>
      <c r="J166" s="129"/>
      <c r="K166" s="129"/>
      <c r="L166" s="129"/>
      <c r="M166" s="129"/>
      <c r="N166" s="129"/>
      <c r="O166" s="129"/>
      <c r="P166" s="129"/>
      <c r="Q166" s="129"/>
      <c r="R166" s="129"/>
      <c r="S166" s="129"/>
      <c r="T166" s="129"/>
      <c r="U166" s="129"/>
      <c r="V166" s="129"/>
      <c r="W166" s="129"/>
      <c r="X166" s="129"/>
      <c r="Y166" s="129"/>
      <c r="Z166" s="129"/>
      <c r="AA166" s="129"/>
      <c r="AB166" s="129"/>
      <c r="AC166" s="129"/>
      <c r="AD166" s="129"/>
      <c r="AE166" s="129"/>
      <c r="AF166" s="129"/>
      <c r="AG166" s="129"/>
      <c r="AH166" s="129"/>
      <c r="AI166" s="129"/>
      <c r="AK166" s="139"/>
      <c r="AL166" s="129"/>
    </row>
    <row r="167" spans="6:38" ht="15" hidden="1" x14ac:dyDescent="0.25">
      <c r="F167" s="129"/>
      <c r="G167" s="129"/>
      <c r="H167" s="129"/>
      <c r="I167" s="129"/>
      <c r="J167" s="129"/>
      <c r="K167" s="129"/>
      <c r="L167" s="129"/>
      <c r="M167" s="129"/>
      <c r="N167" s="129"/>
      <c r="O167" s="129"/>
      <c r="P167" s="129"/>
      <c r="Q167" s="129"/>
      <c r="R167" s="129"/>
      <c r="S167" s="129"/>
      <c r="T167" s="129"/>
      <c r="U167" s="129"/>
      <c r="V167" s="129"/>
      <c r="W167" s="129"/>
      <c r="X167" s="129"/>
      <c r="Y167" s="129"/>
      <c r="Z167" s="129"/>
      <c r="AA167" s="129"/>
      <c r="AB167" s="129"/>
      <c r="AC167" s="129"/>
      <c r="AD167" s="129"/>
      <c r="AE167" s="129"/>
      <c r="AF167" s="129"/>
      <c r="AG167" s="129"/>
      <c r="AH167" s="129"/>
      <c r="AI167" s="129"/>
      <c r="AK167" s="139"/>
      <c r="AL167" s="129"/>
    </row>
    <row r="168" spans="6:38" ht="15" hidden="1" x14ac:dyDescent="0.25">
      <c r="F168" s="129"/>
      <c r="G168" s="129"/>
      <c r="H168" s="129"/>
      <c r="I168" s="129"/>
      <c r="J168" s="129"/>
      <c r="K168" s="129"/>
      <c r="L168" s="129"/>
      <c r="M168" s="129"/>
      <c r="N168" s="129"/>
      <c r="O168" s="129"/>
      <c r="P168" s="129"/>
      <c r="Q168" s="129"/>
      <c r="R168" s="129"/>
      <c r="S168" s="129"/>
      <c r="T168" s="129"/>
      <c r="U168" s="129"/>
      <c r="V168" s="129"/>
      <c r="W168" s="129"/>
      <c r="X168" s="129"/>
      <c r="Y168" s="129"/>
      <c r="Z168" s="129"/>
      <c r="AA168" s="129"/>
      <c r="AB168" s="129"/>
      <c r="AC168" s="129"/>
      <c r="AD168" s="129"/>
      <c r="AE168" s="129"/>
      <c r="AF168" s="129"/>
      <c r="AG168" s="129"/>
      <c r="AH168" s="129"/>
      <c r="AI168" s="129"/>
      <c r="AK168" s="139"/>
      <c r="AL168" s="129"/>
    </row>
    <row r="169" spans="6:38" ht="15" hidden="1" x14ac:dyDescent="0.25">
      <c r="F169" s="129"/>
      <c r="G169" s="129"/>
      <c r="H169" s="129"/>
      <c r="I169" s="129"/>
      <c r="J169" s="129"/>
      <c r="K169" s="129"/>
      <c r="L169" s="129"/>
      <c r="M169" s="129"/>
      <c r="N169" s="129"/>
      <c r="O169" s="129"/>
      <c r="P169" s="129"/>
      <c r="Q169" s="129"/>
      <c r="R169" s="129"/>
      <c r="S169" s="129"/>
      <c r="T169" s="129"/>
      <c r="U169" s="129"/>
      <c r="V169" s="129"/>
      <c r="W169" s="129"/>
      <c r="X169" s="129"/>
      <c r="Y169" s="129"/>
      <c r="Z169" s="129"/>
      <c r="AA169" s="129"/>
      <c r="AB169" s="129"/>
      <c r="AC169" s="129"/>
      <c r="AD169" s="129"/>
      <c r="AE169" s="129"/>
      <c r="AF169" s="129"/>
      <c r="AG169" s="129"/>
      <c r="AH169" s="129"/>
      <c r="AI169" s="129"/>
      <c r="AK169" s="139"/>
      <c r="AL169" s="129"/>
    </row>
    <row r="170" spans="6:38" ht="15" hidden="1" x14ac:dyDescent="0.25">
      <c r="F170" s="129"/>
      <c r="G170" s="129"/>
      <c r="H170" s="129"/>
      <c r="I170" s="129"/>
      <c r="J170" s="129"/>
      <c r="K170" s="129"/>
      <c r="L170" s="129"/>
      <c r="M170" s="129"/>
      <c r="N170" s="129"/>
      <c r="O170" s="129"/>
      <c r="P170" s="129"/>
      <c r="Q170" s="129"/>
      <c r="R170" s="129"/>
      <c r="S170" s="129"/>
      <c r="T170" s="129"/>
      <c r="U170" s="129"/>
      <c r="V170" s="129"/>
      <c r="W170" s="129"/>
      <c r="X170" s="129"/>
      <c r="Y170" s="129"/>
      <c r="Z170" s="129"/>
      <c r="AA170" s="129"/>
      <c r="AB170" s="129"/>
      <c r="AC170" s="129"/>
      <c r="AD170" s="129"/>
      <c r="AE170" s="129"/>
      <c r="AF170" s="129"/>
      <c r="AG170" s="129"/>
      <c r="AH170" s="129"/>
      <c r="AI170" s="129"/>
      <c r="AK170" s="139"/>
      <c r="AL170" s="129"/>
    </row>
    <row r="171" spans="6:38" ht="15" hidden="1" x14ac:dyDescent="0.25">
      <c r="F171" s="129"/>
      <c r="G171" s="129"/>
      <c r="H171" s="129"/>
      <c r="I171" s="129"/>
      <c r="J171" s="129"/>
      <c r="K171" s="129"/>
      <c r="L171" s="129"/>
      <c r="M171" s="129"/>
      <c r="N171" s="129"/>
      <c r="O171" s="129"/>
      <c r="P171" s="129"/>
      <c r="Q171" s="129"/>
      <c r="R171" s="129"/>
      <c r="S171" s="129"/>
      <c r="T171" s="129"/>
      <c r="U171" s="129"/>
      <c r="V171" s="129"/>
      <c r="W171" s="129"/>
      <c r="X171" s="129"/>
      <c r="Y171" s="129"/>
      <c r="Z171" s="129"/>
      <c r="AA171" s="129"/>
      <c r="AB171" s="129"/>
      <c r="AC171" s="129"/>
      <c r="AD171" s="129"/>
      <c r="AE171" s="129"/>
      <c r="AF171" s="129"/>
      <c r="AG171" s="129"/>
      <c r="AH171" s="129"/>
      <c r="AI171" s="129"/>
      <c r="AK171" s="139"/>
      <c r="AL171" s="129"/>
    </row>
    <row r="172" spans="6:38" ht="15" hidden="1" x14ac:dyDescent="0.25">
      <c r="F172" s="129"/>
      <c r="G172" s="129"/>
      <c r="H172" s="129"/>
      <c r="I172" s="129"/>
      <c r="J172" s="129"/>
      <c r="K172" s="129"/>
      <c r="L172" s="129"/>
      <c r="M172" s="129"/>
      <c r="N172" s="129"/>
      <c r="O172" s="129"/>
      <c r="P172" s="129"/>
      <c r="Q172" s="129"/>
      <c r="R172" s="129"/>
      <c r="S172" s="129"/>
      <c r="T172" s="129"/>
      <c r="U172" s="129"/>
      <c r="V172" s="129"/>
      <c r="W172" s="129"/>
      <c r="X172" s="129"/>
      <c r="Y172" s="129"/>
      <c r="Z172" s="129"/>
      <c r="AA172" s="129"/>
      <c r="AB172" s="129"/>
      <c r="AC172" s="129"/>
      <c r="AD172" s="129"/>
      <c r="AE172" s="129"/>
      <c r="AF172" s="129"/>
      <c r="AG172" s="129"/>
      <c r="AH172" s="129"/>
      <c r="AI172" s="129"/>
      <c r="AK172" s="139"/>
      <c r="AL172" s="129"/>
    </row>
    <row r="173" spans="6:38" ht="15" hidden="1" x14ac:dyDescent="0.25">
      <c r="F173" s="129"/>
      <c r="G173" s="129"/>
      <c r="H173" s="129"/>
      <c r="I173" s="129"/>
      <c r="J173" s="129"/>
      <c r="K173" s="129"/>
      <c r="L173" s="129"/>
      <c r="M173" s="129"/>
      <c r="N173" s="129"/>
      <c r="O173" s="129"/>
      <c r="P173" s="129"/>
      <c r="Q173" s="129"/>
      <c r="R173" s="129"/>
      <c r="S173" s="129"/>
      <c r="T173" s="129"/>
      <c r="U173" s="129"/>
      <c r="V173" s="129"/>
      <c r="W173" s="129"/>
      <c r="X173" s="129"/>
      <c r="Y173" s="129"/>
      <c r="Z173" s="129"/>
      <c r="AA173" s="129"/>
      <c r="AB173" s="129"/>
      <c r="AC173" s="129"/>
      <c r="AD173" s="129"/>
      <c r="AE173" s="129"/>
      <c r="AF173" s="129"/>
      <c r="AG173" s="129"/>
      <c r="AH173" s="129"/>
      <c r="AI173" s="129"/>
      <c r="AK173" s="139"/>
      <c r="AL173" s="129"/>
    </row>
    <row r="174" spans="6:38" ht="15" hidden="1" x14ac:dyDescent="0.25">
      <c r="F174" s="129"/>
      <c r="G174" s="129"/>
      <c r="H174" s="129"/>
      <c r="I174" s="129"/>
      <c r="J174" s="129"/>
      <c r="K174" s="129"/>
      <c r="L174" s="129"/>
      <c r="M174" s="129"/>
      <c r="N174" s="129"/>
      <c r="O174" s="129"/>
      <c r="P174" s="129"/>
      <c r="Q174" s="129"/>
      <c r="R174" s="129"/>
      <c r="S174" s="129"/>
      <c r="T174" s="129"/>
      <c r="U174" s="129"/>
      <c r="V174" s="129"/>
      <c r="W174" s="129"/>
      <c r="X174" s="129"/>
      <c r="Y174" s="129"/>
      <c r="Z174" s="129"/>
      <c r="AA174" s="129"/>
      <c r="AB174" s="129"/>
      <c r="AC174" s="129"/>
      <c r="AD174" s="129"/>
      <c r="AE174" s="129"/>
      <c r="AF174" s="129"/>
      <c r="AG174" s="129"/>
      <c r="AH174" s="129"/>
      <c r="AI174" s="129"/>
      <c r="AK174" s="139"/>
      <c r="AL174" s="129"/>
    </row>
    <row r="175" spans="6:38" ht="15" hidden="1" x14ac:dyDescent="0.25">
      <c r="F175" s="129"/>
      <c r="G175" s="129"/>
      <c r="H175" s="129"/>
      <c r="I175" s="129"/>
      <c r="J175" s="129"/>
      <c r="K175" s="129"/>
      <c r="L175" s="129"/>
      <c r="M175" s="129"/>
      <c r="N175" s="129"/>
      <c r="O175" s="129"/>
      <c r="P175" s="129"/>
      <c r="Q175" s="129"/>
      <c r="R175" s="129"/>
      <c r="S175" s="129"/>
      <c r="T175" s="129"/>
      <c r="U175" s="129"/>
      <c r="V175" s="129"/>
      <c r="W175" s="129"/>
      <c r="X175" s="129"/>
      <c r="Y175" s="129"/>
      <c r="Z175" s="129"/>
      <c r="AA175" s="129"/>
      <c r="AB175" s="129"/>
      <c r="AC175" s="129"/>
      <c r="AD175" s="129"/>
      <c r="AE175" s="129"/>
      <c r="AF175" s="129"/>
      <c r="AG175" s="129"/>
      <c r="AH175" s="129"/>
      <c r="AI175" s="129"/>
      <c r="AK175" s="139"/>
      <c r="AL175" s="129"/>
    </row>
    <row r="176" spans="6:38" ht="15" hidden="1" x14ac:dyDescent="0.25">
      <c r="F176" s="129"/>
      <c r="G176" s="129"/>
      <c r="H176" s="129"/>
      <c r="I176" s="129"/>
      <c r="J176" s="129"/>
      <c r="K176" s="129"/>
      <c r="L176" s="129"/>
      <c r="M176" s="129"/>
      <c r="N176" s="129"/>
      <c r="O176" s="129"/>
      <c r="P176" s="129"/>
      <c r="Q176" s="129"/>
      <c r="R176" s="129"/>
      <c r="S176" s="129"/>
      <c r="T176" s="129"/>
      <c r="U176" s="129"/>
      <c r="V176" s="129"/>
      <c r="W176" s="129"/>
      <c r="X176" s="129"/>
      <c r="Y176" s="129"/>
      <c r="Z176" s="129"/>
      <c r="AA176" s="129"/>
      <c r="AB176" s="129"/>
      <c r="AC176" s="129"/>
      <c r="AD176" s="129"/>
      <c r="AE176" s="129"/>
      <c r="AF176" s="129"/>
      <c r="AG176" s="129"/>
      <c r="AH176" s="129"/>
      <c r="AI176" s="129"/>
      <c r="AK176" s="139"/>
      <c r="AL176" s="129"/>
    </row>
    <row r="177" spans="6:38" ht="15" hidden="1" x14ac:dyDescent="0.25">
      <c r="F177" s="129"/>
      <c r="G177" s="129"/>
      <c r="H177" s="129"/>
      <c r="I177" s="129"/>
      <c r="J177" s="129"/>
      <c r="K177" s="129"/>
      <c r="L177" s="129"/>
      <c r="M177" s="129"/>
      <c r="N177" s="129"/>
      <c r="O177" s="129"/>
      <c r="P177" s="129"/>
      <c r="Q177" s="129"/>
      <c r="R177" s="129"/>
      <c r="S177" s="129"/>
      <c r="T177" s="129"/>
      <c r="U177" s="129"/>
      <c r="V177" s="129"/>
      <c r="W177" s="129"/>
      <c r="X177" s="129"/>
      <c r="Y177" s="129"/>
      <c r="Z177" s="129"/>
      <c r="AA177" s="129"/>
      <c r="AB177" s="129"/>
      <c r="AC177" s="129"/>
      <c r="AD177" s="129"/>
      <c r="AE177" s="129"/>
      <c r="AF177" s="129"/>
      <c r="AG177" s="129"/>
      <c r="AH177" s="129"/>
      <c r="AI177" s="129"/>
      <c r="AK177" s="139"/>
      <c r="AL177" s="129"/>
    </row>
    <row r="178" spans="6:38" ht="15" hidden="1" x14ac:dyDescent="0.25">
      <c r="F178" s="129"/>
      <c r="G178" s="129"/>
      <c r="H178" s="129"/>
      <c r="I178" s="129"/>
      <c r="J178" s="129"/>
      <c r="K178" s="129"/>
      <c r="L178" s="129"/>
      <c r="M178" s="129"/>
      <c r="N178" s="129"/>
      <c r="O178" s="129"/>
      <c r="P178" s="129"/>
      <c r="Q178" s="129"/>
      <c r="R178" s="129"/>
      <c r="S178" s="129"/>
      <c r="T178" s="129"/>
      <c r="U178" s="129"/>
      <c r="V178" s="129"/>
      <c r="W178" s="129"/>
      <c r="X178" s="129"/>
      <c r="Y178" s="129"/>
      <c r="Z178" s="129"/>
      <c r="AA178" s="129"/>
      <c r="AB178" s="129"/>
      <c r="AC178" s="129"/>
      <c r="AD178" s="129"/>
      <c r="AE178" s="129"/>
      <c r="AF178" s="129"/>
      <c r="AG178" s="129"/>
      <c r="AH178" s="129"/>
      <c r="AI178" s="129"/>
      <c r="AK178" s="139"/>
      <c r="AL178" s="129"/>
    </row>
    <row r="179" spans="6:38" ht="15" hidden="1" x14ac:dyDescent="0.25">
      <c r="F179" s="129"/>
      <c r="G179" s="129"/>
      <c r="H179" s="129"/>
      <c r="I179" s="129"/>
      <c r="J179" s="129"/>
      <c r="K179" s="129"/>
      <c r="L179" s="129"/>
      <c r="M179" s="129"/>
      <c r="N179" s="129"/>
      <c r="O179" s="129"/>
      <c r="P179" s="129"/>
      <c r="Q179" s="129"/>
      <c r="R179" s="129"/>
      <c r="S179" s="129"/>
      <c r="T179" s="129"/>
      <c r="U179" s="129"/>
      <c r="V179" s="129"/>
      <c r="W179" s="129"/>
      <c r="X179" s="129"/>
      <c r="Y179" s="129"/>
      <c r="Z179" s="129"/>
      <c r="AA179" s="129"/>
      <c r="AB179" s="129"/>
      <c r="AC179" s="129"/>
      <c r="AD179" s="129"/>
      <c r="AE179" s="129"/>
      <c r="AF179" s="129"/>
      <c r="AG179" s="129"/>
      <c r="AH179" s="129"/>
      <c r="AI179" s="129"/>
      <c r="AK179" s="139"/>
      <c r="AL179" s="129"/>
    </row>
    <row r="180" spans="6:38" ht="15" hidden="1" x14ac:dyDescent="0.25">
      <c r="F180" s="129"/>
      <c r="G180" s="129"/>
      <c r="H180" s="129"/>
      <c r="I180" s="129"/>
      <c r="J180" s="129"/>
      <c r="K180" s="129"/>
      <c r="L180" s="129"/>
      <c r="M180" s="129"/>
      <c r="N180" s="129"/>
      <c r="O180" s="129"/>
      <c r="P180" s="129"/>
      <c r="Q180" s="129"/>
      <c r="R180" s="129"/>
      <c r="S180" s="129"/>
      <c r="T180" s="129"/>
      <c r="U180" s="129"/>
      <c r="V180" s="129"/>
      <c r="W180" s="129"/>
      <c r="X180" s="129"/>
      <c r="Y180" s="129"/>
      <c r="Z180" s="129"/>
      <c r="AA180" s="129"/>
      <c r="AB180" s="129"/>
      <c r="AC180" s="129"/>
      <c r="AD180" s="129"/>
      <c r="AE180" s="129"/>
      <c r="AF180" s="129"/>
      <c r="AG180" s="129"/>
      <c r="AH180" s="129"/>
      <c r="AI180" s="129"/>
      <c r="AK180" s="139"/>
      <c r="AL180" s="129"/>
    </row>
    <row r="181" spans="6:38" ht="15" hidden="1" x14ac:dyDescent="0.25">
      <c r="F181" s="129"/>
      <c r="G181" s="129"/>
      <c r="H181" s="129"/>
      <c r="I181" s="129"/>
      <c r="J181" s="129"/>
      <c r="K181" s="129"/>
      <c r="L181" s="129"/>
      <c r="M181" s="129"/>
      <c r="N181" s="129"/>
      <c r="O181" s="129"/>
      <c r="P181" s="129"/>
      <c r="Q181" s="129"/>
      <c r="R181" s="129"/>
      <c r="S181" s="129"/>
      <c r="T181" s="129"/>
      <c r="U181" s="129"/>
      <c r="V181" s="129"/>
      <c r="W181" s="129"/>
      <c r="X181" s="129"/>
      <c r="Y181" s="129"/>
      <c r="Z181" s="129"/>
      <c r="AA181" s="129"/>
      <c r="AB181" s="129"/>
      <c r="AC181" s="129"/>
      <c r="AD181" s="129"/>
      <c r="AE181" s="129"/>
      <c r="AF181" s="129"/>
      <c r="AG181" s="129"/>
      <c r="AH181" s="129"/>
      <c r="AI181" s="129"/>
      <c r="AK181" s="139"/>
      <c r="AL181" s="129"/>
    </row>
    <row r="182" spans="6:38" ht="15" hidden="1" x14ac:dyDescent="0.25">
      <c r="F182" s="129"/>
      <c r="G182" s="129"/>
      <c r="H182" s="129"/>
      <c r="I182" s="129"/>
      <c r="J182" s="129"/>
      <c r="K182" s="129"/>
      <c r="L182" s="129"/>
      <c r="M182" s="129"/>
      <c r="N182" s="129"/>
      <c r="O182" s="129"/>
      <c r="P182" s="129"/>
      <c r="Q182" s="129"/>
      <c r="R182" s="129"/>
      <c r="S182" s="129"/>
      <c r="T182" s="129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29"/>
      <c r="AE182" s="129"/>
      <c r="AF182" s="129"/>
      <c r="AG182" s="129"/>
      <c r="AH182" s="129"/>
      <c r="AI182" s="129"/>
      <c r="AK182" s="139"/>
      <c r="AL182" s="129"/>
    </row>
    <row r="183" spans="6:38" ht="15" hidden="1" x14ac:dyDescent="0.25">
      <c r="F183" s="129"/>
      <c r="G183" s="129"/>
      <c r="H183" s="129"/>
      <c r="I183" s="129"/>
      <c r="J183" s="129"/>
      <c r="K183" s="129"/>
      <c r="L183" s="129"/>
      <c r="M183" s="129"/>
      <c r="N183" s="129"/>
      <c r="O183" s="129"/>
      <c r="P183" s="129"/>
      <c r="Q183" s="129"/>
      <c r="R183" s="129"/>
      <c r="S183" s="129"/>
      <c r="T183" s="129"/>
      <c r="U183" s="129"/>
      <c r="V183" s="129"/>
      <c r="W183" s="129"/>
      <c r="X183" s="129"/>
      <c r="Y183" s="129"/>
      <c r="Z183" s="129"/>
      <c r="AA183" s="129"/>
      <c r="AB183" s="129"/>
      <c r="AC183" s="129"/>
      <c r="AD183" s="129"/>
      <c r="AE183" s="129"/>
      <c r="AF183" s="129"/>
      <c r="AG183" s="129"/>
      <c r="AH183" s="129"/>
      <c r="AI183" s="129"/>
      <c r="AK183" s="139"/>
      <c r="AL183" s="129"/>
    </row>
    <row r="184" spans="6:38" ht="15" hidden="1" x14ac:dyDescent="0.25">
      <c r="F184" s="129"/>
      <c r="G184" s="129"/>
      <c r="H184" s="129"/>
      <c r="I184" s="129"/>
      <c r="J184" s="129"/>
      <c r="K184" s="129"/>
      <c r="L184" s="129"/>
      <c r="M184" s="129"/>
      <c r="N184" s="129"/>
      <c r="O184" s="129"/>
      <c r="P184" s="129"/>
      <c r="Q184" s="129"/>
      <c r="R184" s="129"/>
      <c r="S184" s="129"/>
      <c r="T184" s="129"/>
      <c r="U184" s="129"/>
      <c r="V184" s="129"/>
      <c r="W184" s="129"/>
      <c r="X184" s="129"/>
      <c r="Y184" s="129"/>
      <c r="Z184" s="129"/>
      <c r="AA184" s="129"/>
      <c r="AB184" s="129"/>
      <c r="AC184" s="129"/>
      <c r="AD184" s="129"/>
      <c r="AE184" s="129"/>
      <c r="AF184" s="129"/>
      <c r="AG184" s="129"/>
      <c r="AH184" s="129"/>
      <c r="AI184" s="129"/>
      <c r="AK184" s="139"/>
      <c r="AL184" s="129"/>
    </row>
    <row r="185" spans="6:38" ht="15" hidden="1" x14ac:dyDescent="0.25">
      <c r="F185" s="129"/>
      <c r="G185" s="129"/>
      <c r="H185" s="129"/>
      <c r="I185" s="129"/>
      <c r="J185" s="129"/>
      <c r="K185" s="129"/>
      <c r="L185" s="129"/>
      <c r="M185" s="129"/>
      <c r="N185" s="129"/>
      <c r="O185" s="129"/>
      <c r="P185" s="129"/>
      <c r="Q185" s="129"/>
      <c r="R185" s="129"/>
      <c r="S185" s="129"/>
      <c r="T185" s="129"/>
      <c r="U185" s="129"/>
      <c r="V185" s="129"/>
      <c r="W185" s="129"/>
      <c r="X185" s="129"/>
      <c r="Y185" s="129"/>
      <c r="Z185" s="129"/>
      <c r="AA185" s="129"/>
      <c r="AB185" s="129"/>
      <c r="AC185" s="129"/>
      <c r="AD185" s="129"/>
      <c r="AE185" s="129"/>
      <c r="AF185" s="129"/>
      <c r="AG185" s="129"/>
      <c r="AH185" s="129"/>
      <c r="AI185" s="129"/>
      <c r="AK185" s="139"/>
      <c r="AL185" s="129"/>
    </row>
    <row r="186" spans="6:38" ht="15" hidden="1" x14ac:dyDescent="0.25">
      <c r="F186" s="129"/>
      <c r="G186" s="129"/>
      <c r="H186" s="129"/>
      <c r="I186" s="129"/>
      <c r="J186" s="129"/>
      <c r="K186" s="129"/>
      <c r="L186" s="129"/>
      <c r="M186" s="129"/>
      <c r="N186" s="129"/>
      <c r="O186" s="129"/>
      <c r="P186" s="129"/>
      <c r="Q186" s="129"/>
      <c r="R186" s="129"/>
      <c r="S186" s="129"/>
      <c r="T186" s="129"/>
      <c r="U186" s="129"/>
      <c r="V186" s="129"/>
      <c r="W186" s="129"/>
      <c r="X186" s="129"/>
      <c r="Y186" s="129"/>
      <c r="Z186" s="129"/>
      <c r="AA186" s="129"/>
      <c r="AB186" s="129"/>
      <c r="AC186" s="129"/>
      <c r="AD186" s="129"/>
      <c r="AE186" s="129"/>
      <c r="AF186" s="129"/>
      <c r="AG186" s="129"/>
      <c r="AH186" s="129"/>
      <c r="AI186" s="129"/>
      <c r="AK186" s="139"/>
      <c r="AL186" s="129"/>
    </row>
    <row r="187" spans="6:38" ht="15" hidden="1" x14ac:dyDescent="0.25">
      <c r="F187" s="129"/>
      <c r="G187" s="129"/>
      <c r="H187" s="129"/>
      <c r="I187" s="129"/>
      <c r="J187" s="129"/>
      <c r="K187" s="129"/>
      <c r="L187" s="129"/>
      <c r="M187" s="129"/>
      <c r="N187" s="129"/>
      <c r="O187" s="129"/>
      <c r="P187" s="129"/>
      <c r="Q187" s="129"/>
      <c r="R187" s="129"/>
      <c r="S187" s="129"/>
      <c r="T187" s="129"/>
      <c r="U187" s="129"/>
      <c r="V187" s="129"/>
      <c r="W187" s="129"/>
      <c r="X187" s="129"/>
      <c r="Y187" s="129"/>
      <c r="Z187" s="129"/>
      <c r="AA187" s="129"/>
      <c r="AB187" s="129"/>
      <c r="AC187" s="129"/>
      <c r="AD187" s="129"/>
      <c r="AE187" s="129"/>
      <c r="AF187" s="129"/>
      <c r="AG187" s="129"/>
      <c r="AH187" s="129"/>
      <c r="AI187" s="129"/>
      <c r="AK187" s="139"/>
      <c r="AL187" s="129"/>
    </row>
    <row r="188" spans="6:38" ht="15" hidden="1" x14ac:dyDescent="0.25">
      <c r="F188" s="129"/>
      <c r="G188" s="129"/>
      <c r="H188" s="129"/>
      <c r="I188" s="129"/>
      <c r="J188" s="129"/>
      <c r="K188" s="129"/>
      <c r="L188" s="129"/>
      <c r="M188" s="129"/>
      <c r="N188" s="129"/>
      <c r="O188" s="129"/>
      <c r="P188" s="129"/>
      <c r="Q188" s="129"/>
      <c r="R188" s="129"/>
      <c r="S188" s="129"/>
      <c r="T188" s="129"/>
      <c r="U188" s="129"/>
      <c r="V188" s="129"/>
      <c r="W188" s="129"/>
      <c r="X188" s="129"/>
      <c r="Y188" s="129"/>
      <c r="Z188" s="129"/>
      <c r="AA188" s="129"/>
      <c r="AB188" s="129"/>
      <c r="AC188" s="129"/>
      <c r="AD188" s="129"/>
      <c r="AE188" s="129"/>
      <c r="AF188" s="129"/>
      <c r="AG188" s="129"/>
      <c r="AH188" s="129"/>
      <c r="AI188" s="129"/>
      <c r="AK188" s="139"/>
      <c r="AL188" s="129"/>
    </row>
    <row r="189" spans="6:38" ht="15" hidden="1" x14ac:dyDescent="0.25"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29"/>
      <c r="AE189" s="129"/>
      <c r="AF189" s="129"/>
      <c r="AG189" s="129"/>
      <c r="AH189" s="129"/>
      <c r="AI189" s="129"/>
      <c r="AK189" s="139"/>
      <c r="AL189" s="129"/>
    </row>
    <row r="190" spans="6:38" ht="15" hidden="1" x14ac:dyDescent="0.25"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K190" s="139"/>
      <c r="AL190" s="129"/>
    </row>
    <row r="191" spans="6:38" ht="15" hidden="1" x14ac:dyDescent="0.25"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K191" s="140"/>
      <c r="AL191" s="129"/>
    </row>
    <row r="192" spans="6:38" ht="15" hidden="1" x14ac:dyDescent="0.25">
      <c r="F192" s="129"/>
      <c r="G192" s="129"/>
      <c r="H192" s="129"/>
      <c r="I192" s="129"/>
      <c r="J192" s="129"/>
      <c r="K192" s="129"/>
      <c r="L192" s="129"/>
      <c r="M192" s="129"/>
      <c r="N192" s="129"/>
      <c r="O192" s="129"/>
      <c r="P192" s="129"/>
      <c r="Q192" s="129"/>
      <c r="R192" s="129"/>
      <c r="S192" s="129"/>
      <c r="T192" s="129"/>
      <c r="U192" s="129"/>
      <c r="V192" s="129"/>
      <c r="W192" s="129"/>
      <c r="X192" s="129"/>
      <c r="Y192" s="129"/>
      <c r="Z192" s="129"/>
      <c r="AA192" s="129"/>
      <c r="AB192" s="129"/>
      <c r="AC192" s="129"/>
      <c r="AD192" s="129"/>
      <c r="AE192" s="129"/>
      <c r="AF192" s="129"/>
      <c r="AG192" s="129"/>
      <c r="AH192" s="129"/>
      <c r="AI192" s="129"/>
      <c r="AK192" s="140"/>
      <c r="AL192" s="129"/>
    </row>
    <row r="193" spans="6:38" ht="15" hidden="1" x14ac:dyDescent="0.25">
      <c r="F193" s="129"/>
      <c r="G193" s="129"/>
      <c r="H193" s="129"/>
      <c r="I193" s="129"/>
      <c r="J193" s="129"/>
      <c r="K193" s="129"/>
      <c r="L193" s="129"/>
      <c r="M193" s="129"/>
      <c r="N193" s="129"/>
      <c r="O193" s="129"/>
      <c r="P193" s="129"/>
      <c r="Q193" s="129"/>
      <c r="R193" s="129"/>
      <c r="S193" s="129"/>
      <c r="T193" s="129"/>
      <c r="U193" s="129"/>
      <c r="V193" s="129"/>
      <c r="W193" s="129"/>
      <c r="X193" s="129"/>
      <c r="Y193" s="129"/>
      <c r="Z193" s="129"/>
      <c r="AA193" s="129"/>
      <c r="AB193" s="129"/>
      <c r="AC193" s="129"/>
      <c r="AD193" s="129"/>
      <c r="AE193" s="129"/>
      <c r="AF193" s="129"/>
      <c r="AG193" s="129"/>
      <c r="AH193" s="129"/>
      <c r="AI193" s="129"/>
      <c r="AK193" s="140"/>
      <c r="AL193" s="129"/>
    </row>
    <row r="194" spans="6:38" ht="15" hidden="1" x14ac:dyDescent="0.25">
      <c r="F194" s="129"/>
      <c r="G194" s="129"/>
      <c r="H194" s="129"/>
      <c r="I194" s="129"/>
      <c r="J194" s="129"/>
      <c r="K194" s="129"/>
      <c r="L194" s="129"/>
      <c r="M194" s="129"/>
      <c r="N194" s="129"/>
      <c r="O194" s="129"/>
      <c r="P194" s="129"/>
      <c r="Q194" s="129"/>
      <c r="R194" s="129"/>
      <c r="S194" s="129"/>
      <c r="T194" s="129"/>
      <c r="U194" s="129"/>
      <c r="V194" s="129"/>
      <c r="W194" s="129"/>
      <c r="X194" s="129"/>
      <c r="Y194" s="129"/>
      <c r="Z194" s="129"/>
      <c r="AA194" s="129"/>
      <c r="AB194" s="129"/>
      <c r="AC194" s="129"/>
      <c r="AD194" s="129"/>
      <c r="AE194" s="129"/>
      <c r="AF194" s="129"/>
      <c r="AG194" s="129"/>
      <c r="AH194" s="129"/>
      <c r="AI194" s="129"/>
      <c r="AK194" s="140"/>
      <c r="AL194" s="129"/>
    </row>
    <row r="195" spans="6:38" ht="15" hidden="1" x14ac:dyDescent="0.25">
      <c r="F195" s="129"/>
      <c r="G195" s="129"/>
      <c r="H195" s="129"/>
      <c r="I195" s="129"/>
      <c r="J195" s="129"/>
      <c r="K195" s="129"/>
      <c r="L195" s="129"/>
      <c r="M195" s="129"/>
      <c r="N195" s="129"/>
      <c r="O195" s="129"/>
      <c r="P195" s="129"/>
      <c r="Q195" s="129"/>
      <c r="R195" s="129"/>
      <c r="S195" s="129"/>
      <c r="T195" s="129"/>
      <c r="U195" s="129"/>
      <c r="V195" s="129"/>
      <c r="W195" s="129"/>
      <c r="X195" s="129"/>
      <c r="Y195" s="129"/>
      <c r="Z195" s="129"/>
      <c r="AA195" s="129"/>
      <c r="AB195" s="129"/>
      <c r="AC195" s="129"/>
      <c r="AD195" s="129"/>
      <c r="AE195" s="129"/>
      <c r="AF195" s="129"/>
      <c r="AG195" s="129"/>
      <c r="AH195" s="129"/>
      <c r="AI195" s="129"/>
      <c r="AK195" s="140"/>
      <c r="AL195" s="129"/>
    </row>
    <row r="196" spans="6:38" ht="15" hidden="1" x14ac:dyDescent="0.25">
      <c r="F196" s="129"/>
      <c r="G196" s="129"/>
      <c r="H196" s="129"/>
      <c r="I196" s="129"/>
      <c r="J196" s="129"/>
      <c r="K196" s="129"/>
      <c r="L196" s="129"/>
      <c r="M196" s="129"/>
      <c r="N196" s="129"/>
      <c r="O196" s="129"/>
      <c r="P196" s="129"/>
      <c r="Q196" s="129"/>
      <c r="R196" s="129"/>
      <c r="S196" s="129"/>
      <c r="T196" s="129"/>
      <c r="U196" s="129"/>
      <c r="V196" s="129"/>
      <c r="W196" s="129"/>
      <c r="X196" s="129"/>
      <c r="Y196" s="129"/>
      <c r="Z196" s="129"/>
      <c r="AA196" s="129"/>
      <c r="AB196" s="129"/>
      <c r="AC196" s="129"/>
      <c r="AD196" s="129"/>
      <c r="AE196" s="129"/>
      <c r="AF196" s="129"/>
      <c r="AG196" s="129"/>
      <c r="AH196" s="129"/>
      <c r="AI196" s="129"/>
      <c r="AK196" s="140"/>
      <c r="AL196" s="129"/>
    </row>
    <row r="197" spans="6:38" ht="15" hidden="1" x14ac:dyDescent="0.25">
      <c r="F197" s="129"/>
      <c r="G197" s="129"/>
      <c r="H197" s="129"/>
      <c r="I197" s="129"/>
      <c r="J197" s="129"/>
      <c r="K197" s="129"/>
      <c r="L197" s="129"/>
      <c r="M197" s="129"/>
      <c r="N197" s="129"/>
      <c r="O197" s="129"/>
      <c r="P197" s="129"/>
      <c r="Q197" s="129"/>
      <c r="R197" s="129"/>
      <c r="S197" s="129"/>
      <c r="T197" s="129"/>
      <c r="U197" s="129"/>
      <c r="V197" s="129"/>
      <c r="W197" s="129"/>
      <c r="X197" s="129"/>
      <c r="Y197" s="129"/>
      <c r="Z197" s="129"/>
      <c r="AA197" s="129"/>
      <c r="AB197" s="129"/>
      <c r="AC197" s="129"/>
      <c r="AD197" s="129"/>
      <c r="AE197" s="129"/>
      <c r="AF197" s="129"/>
      <c r="AG197" s="129"/>
      <c r="AH197" s="129"/>
      <c r="AI197" s="129"/>
      <c r="AK197" s="140"/>
      <c r="AL197" s="129"/>
    </row>
    <row r="198" spans="6:38" ht="15" hidden="1" x14ac:dyDescent="0.25">
      <c r="F198" s="129"/>
      <c r="G198" s="129"/>
      <c r="H198" s="129"/>
      <c r="I198" s="129"/>
      <c r="J198" s="129"/>
      <c r="K198" s="129"/>
      <c r="L198" s="129"/>
      <c r="M198" s="129"/>
      <c r="N198" s="129"/>
      <c r="O198" s="129"/>
      <c r="P198" s="129"/>
      <c r="Q198" s="129"/>
      <c r="R198" s="129"/>
      <c r="S198" s="129"/>
      <c r="T198" s="129"/>
      <c r="U198" s="129"/>
      <c r="V198" s="129"/>
      <c r="W198" s="129"/>
      <c r="X198" s="129"/>
      <c r="Y198" s="129"/>
      <c r="Z198" s="129"/>
      <c r="AA198" s="129"/>
      <c r="AB198" s="129"/>
      <c r="AC198" s="129"/>
      <c r="AD198" s="129"/>
      <c r="AE198" s="129"/>
      <c r="AF198" s="129"/>
      <c r="AG198" s="129"/>
      <c r="AH198" s="129"/>
      <c r="AI198" s="129"/>
      <c r="AK198" s="140"/>
      <c r="AL198" s="129"/>
    </row>
    <row r="199" spans="6:38" ht="15" hidden="1" x14ac:dyDescent="0.25">
      <c r="F199" s="129"/>
      <c r="G199" s="129"/>
      <c r="H199" s="129"/>
      <c r="I199" s="129"/>
      <c r="J199" s="129"/>
      <c r="K199" s="129"/>
      <c r="L199" s="129"/>
      <c r="M199" s="129"/>
      <c r="N199" s="129"/>
      <c r="O199" s="129"/>
      <c r="P199" s="129"/>
      <c r="Q199" s="129"/>
      <c r="R199" s="129"/>
      <c r="S199" s="129"/>
      <c r="T199" s="129"/>
      <c r="U199" s="129"/>
      <c r="V199" s="129"/>
      <c r="W199" s="129"/>
      <c r="X199" s="129"/>
      <c r="Y199" s="129"/>
      <c r="Z199" s="129"/>
      <c r="AA199" s="129"/>
      <c r="AB199" s="129"/>
      <c r="AC199" s="129"/>
      <c r="AD199" s="129"/>
      <c r="AE199" s="129"/>
      <c r="AF199" s="129"/>
      <c r="AG199" s="129"/>
      <c r="AH199" s="129"/>
      <c r="AI199" s="129"/>
      <c r="AK199" s="140"/>
      <c r="AL199" s="129"/>
    </row>
    <row r="200" spans="6:38" ht="15" hidden="1" x14ac:dyDescent="0.25">
      <c r="F200" s="129"/>
      <c r="G200" s="129"/>
      <c r="H200" s="129"/>
      <c r="I200" s="129"/>
      <c r="J200" s="129"/>
      <c r="K200" s="129"/>
      <c r="L200" s="129"/>
      <c r="M200" s="129"/>
      <c r="N200" s="129"/>
      <c r="O200" s="129"/>
      <c r="P200" s="129"/>
      <c r="Q200" s="129"/>
      <c r="R200" s="129"/>
      <c r="S200" s="129"/>
      <c r="T200" s="129"/>
      <c r="U200" s="129"/>
      <c r="V200" s="129"/>
      <c r="W200" s="129"/>
      <c r="X200" s="129"/>
      <c r="Y200" s="129"/>
      <c r="Z200" s="129"/>
      <c r="AA200" s="129"/>
      <c r="AB200" s="129"/>
      <c r="AC200" s="129"/>
      <c r="AD200" s="129"/>
      <c r="AE200" s="129"/>
      <c r="AF200" s="129"/>
      <c r="AG200" s="129"/>
      <c r="AH200" s="129"/>
      <c r="AI200" s="129"/>
      <c r="AK200" s="140"/>
      <c r="AL200" s="129"/>
    </row>
    <row r="201" spans="6:38" ht="15" hidden="1" x14ac:dyDescent="0.25">
      <c r="F201" s="129"/>
      <c r="G201" s="129"/>
      <c r="H201" s="129"/>
      <c r="I201" s="129"/>
      <c r="J201" s="129"/>
      <c r="K201" s="129"/>
      <c r="L201" s="129"/>
      <c r="M201" s="129"/>
      <c r="N201" s="129"/>
      <c r="O201" s="129"/>
      <c r="P201" s="129"/>
      <c r="Q201" s="129"/>
      <c r="R201" s="129"/>
      <c r="S201" s="129"/>
      <c r="T201" s="129"/>
      <c r="U201" s="129"/>
      <c r="V201" s="129"/>
      <c r="W201" s="129"/>
      <c r="X201" s="129"/>
      <c r="Y201" s="129"/>
      <c r="Z201" s="129"/>
      <c r="AA201" s="129"/>
      <c r="AB201" s="129"/>
      <c r="AC201" s="129"/>
      <c r="AD201" s="129"/>
      <c r="AE201" s="129"/>
      <c r="AF201" s="129"/>
      <c r="AG201" s="129"/>
      <c r="AH201" s="129"/>
      <c r="AI201" s="129"/>
      <c r="AK201" s="140"/>
      <c r="AL201" s="129"/>
    </row>
    <row r="202" spans="6:38" ht="15" hidden="1" x14ac:dyDescent="0.25">
      <c r="F202" s="129"/>
      <c r="G202" s="129"/>
      <c r="H202" s="129"/>
      <c r="I202" s="129"/>
      <c r="J202" s="129"/>
      <c r="K202" s="129"/>
      <c r="L202" s="129"/>
      <c r="M202" s="129"/>
      <c r="N202" s="129"/>
      <c r="O202" s="129"/>
      <c r="P202" s="129"/>
      <c r="Q202" s="129"/>
      <c r="R202" s="129"/>
      <c r="S202" s="129"/>
      <c r="T202" s="129"/>
      <c r="U202" s="129"/>
      <c r="V202" s="129"/>
      <c r="W202" s="129"/>
      <c r="X202" s="129"/>
      <c r="Y202" s="129"/>
      <c r="Z202" s="129"/>
      <c r="AA202" s="129"/>
      <c r="AB202" s="129"/>
      <c r="AC202" s="129"/>
      <c r="AD202" s="129"/>
      <c r="AE202" s="129"/>
      <c r="AF202" s="129"/>
      <c r="AG202" s="129"/>
      <c r="AH202" s="129"/>
      <c r="AI202" s="129"/>
      <c r="AK202" s="140"/>
      <c r="AL202" s="129"/>
    </row>
    <row r="203" spans="6:38" ht="15" hidden="1" x14ac:dyDescent="0.25">
      <c r="F203" s="129"/>
      <c r="G203" s="129"/>
      <c r="H203" s="129"/>
      <c r="I203" s="129"/>
      <c r="J203" s="129"/>
      <c r="K203" s="129"/>
      <c r="L203" s="129"/>
      <c r="M203" s="129"/>
      <c r="N203" s="129"/>
      <c r="O203" s="129"/>
      <c r="P203" s="129"/>
      <c r="Q203" s="129"/>
      <c r="R203" s="129"/>
      <c r="S203" s="129"/>
      <c r="T203" s="129"/>
      <c r="U203" s="129"/>
      <c r="V203" s="129"/>
      <c r="W203" s="129"/>
      <c r="X203" s="129"/>
      <c r="Y203" s="129"/>
      <c r="Z203" s="129"/>
      <c r="AA203" s="129"/>
      <c r="AB203" s="129"/>
      <c r="AC203" s="129"/>
      <c r="AD203" s="129"/>
      <c r="AE203" s="129"/>
      <c r="AF203" s="129"/>
      <c r="AG203" s="129"/>
      <c r="AH203" s="129"/>
      <c r="AI203" s="129"/>
      <c r="AK203" s="140"/>
      <c r="AL203" s="129"/>
    </row>
    <row r="204" spans="6:38" ht="15" hidden="1" x14ac:dyDescent="0.25">
      <c r="F204" s="129"/>
      <c r="G204" s="129"/>
      <c r="H204" s="129"/>
      <c r="I204" s="129"/>
      <c r="J204" s="129"/>
      <c r="K204" s="129"/>
      <c r="L204" s="129"/>
      <c r="M204" s="129"/>
      <c r="N204" s="129"/>
      <c r="O204" s="129"/>
      <c r="P204" s="129"/>
      <c r="Q204" s="129"/>
      <c r="R204" s="129"/>
      <c r="S204" s="129"/>
      <c r="T204" s="129"/>
      <c r="U204" s="129"/>
      <c r="V204" s="129"/>
      <c r="W204" s="129"/>
      <c r="X204" s="129"/>
      <c r="Y204" s="129"/>
      <c r="Z204" s="129"/>
      <c r="AA204" s="129"/>
      <c r="AB204" s="129"/>
      <c r="AC204" s="129"/>
      <c r="AD204" s="129"/>
      <c r="AE204" s="129"/>
      <c r="AF204" s="129"/>
      <c r="AG204" s="129"/>
      <c r="AH204" s="129"/>
      <c r="AI204" s="129"/>
      <c r="AK204" s="140"/>
      <c r="AL204" s="129"/>
    </row>
    <row r="205" spans="6:38" ht="15" hidden="1" x14ac:dyDescent="0.25">
      <c r="F205" s="129"/>
      <c r="G205" s="129"/>
      <c r="H205" s="129"/>
      <c r="I205" s="129"/>
      <c r="J205" s="129"/>
      <c r="K205" s="129"/>
      <c r="L205" s="129"/>
      <c r="M205" s="129"/>
      <c r="N205" s="129"/>
      <c r="O205" s="129"/>
      <c r="P205" s="129"/>
      <c r="Q205" s="129"/>
      <c r="R205" s="129"/>
      <c r="S205" s="129"/>
      <c r="T205" s="129"/>
      <c r="U205" s="129"/>
      <c r="V205" s="129"/>
      <c r="W205" s="129"/>
      <c r="X205" s="129"/>
      <c r="Y205" s="129"/>
      <c r="Z205" s="129"/>
      <c r="AA205" s="129"/>
      <c r="AB205" s="129"/>
      <c r="AC205" s="129"/>
      <c r="AD205" s="129"/>
      <c r="AE205" s="129"/>
      <c r="AF205" s="129"/>
      <c r="AG205" s="129"/>
      <c r="AH205" s="129"/>
      <c r="AI205" s="129"/>
      <c r="AK205" s="140"/>
      <c r="AL205" s="129"/>
    </row>
    <row r="206" spans="6:38" ht="15" hidden="1" x14ac:dyDescent="0.25">
      <c r="F206" s="129"/>
      <c r="G206" s="129"/>
      <c r="H206" s="129"/>
      <c r="I206" s="129"/>
      <c r="J206" s="129"/>
      <c r="K206" s="129"/>
      <c r="L206" s="129"/>
      <c r="M206" s="129"/>
      <c r="N206" s="129"/>
      <c r="O206" s="129"/>
      <c r="P206" s="129"/>
      <c r="Q206" s="129"/>
      <c r="R206" s="129"/>
      <c r="S206" s="129"/>
      <c r="T206" s="129"/>
      <c r="U206" s="129"/>
      <c r="V206" s="129"/>
      <c r="W206" s="129"/>
      <c r="X206" s="129"/>
      <c r="Y206" s="129"/>
      <c r="Z206" s="129"/>
      <c r="AA206" s="129"/>
      <c r="AB206" s="129"/>
      <c r="AC206" s="129"/>
      <c r="AD206" s="129"/>
      <c r="AE206" s="129"/>
      <c r="AF206" s="129"/>
      <c r="AG206" s="129"/>
      <c r="AH206" s="129"/>
      <c r="AI206" s="129"/>
      <c r="AK206" s="140"/>
      <c r="AL206" s="129"/>
    </row>
    <row r="207" spans="6:38" ht="15" hidden="1" x14ac:dyDescent="0.25">
      <c r="F207" s="129"/>
      <c r="G207" s="129"/>
      <c r="H207" s="129"/>
      <c r="I207" s="129"/>
      <c r="J207" s="129"/>
      <c r="K207" s="129"/>
      <c r="L207" s="129"/>
      <c r="M207" s="129"/>
      <c r="N207" s="129"/>
      <c r="O207" s="129"/>
      <c r="P207" s="129"/>
      <c r="Q207" s="129"/>
      <c r="R207" s="129"/>
      <c r="S207" s="129"/>
      <c r="T207" s="129"/>
      <c r="U207" s="129"/>
      <c r="V207" s="129"/>
      <c r="W207" s="129"/>
      <c r="X207" s="129"/>
      <c r="Y207" s="129"/>
      <c r="Z207" s="129"/>
      <c r="AA207" s="129"/>
      <c r="AB207" s="129"/>
      <c r="AC207" s="129"/>
      <c r="AD207" s="129"/>
      <c r="AE207" s="129"/>
      <c r="AF207" s="129"/>
      <c r="AG207" s="129"/>
      <c r="AH207" s="129"/>
      <c r="AI207" s="129"/>
      <c r="AK207" s="140"/>
      <c r="AL207" s="129"/>
    </row>
    <row r="208" spans="6:38" ht="15" hidden="1" x14ac:dyDescent="0.25">
      <c r="F208" s="129"/>
      <c r="G208" s="129"/>
      <c r="H208" s="129"/>
      <c r="I208" s="129"/>
      <c r="J208" s="129"/>
      <c r="K208" s="129"/>
      <c r="L208" s="129"/>
      <c r="M208" s="129"/>
      <c r="N208" s="129"/>
      <c r="O208" s="129"/>
      <c r="P208" s="129"/>
      <c r="Q208" s="129"/>
      <c r="R208" s="129"/>
      <c r="S208" s="129"/>
      <c r="T208" s="129"/>
      <c r="U208" s="129"/>
      <c r="V208" s="129"/>
      <c r="W208" s="129"/>
      <c r="X208" s="129"/>
      <c r="Y208" s="129"/>
      <c r="Z208" s="129"/>
      <c r="AA208" s="129"/>
      <c r="AB208" s="129"/>
      <c r="AC208" s="129"/>
      <c r="AD208" s="129"/>
      <c r="AE208" s="129"/>
      <c r="AF208" s="129"/>
      <c r="AG208" s="129"/>
      <c r="AH208" s="129"/>
      <c r="AI208" s="129"/>
      <c r="AK208" s="140"/>
      <c r="AL208" s="129"/>
    </row>
    <row r="209" spans="6:38" ht="15" hidden="1" x14ac:dyDescent="0.25">
      <c r="F209" s="129"/>
      <c r="G209" s="129"/>
      <c r="H209" s="129"/>
      <c r="I209" s="129"/>
      <c r="J209" s="129"/>
      <c r="K209" s="129"/>
      <c r="L209" s="129"/>
      <c r="M209" s="129"/>
      <c r="N209" s="129"/>
      <c r="O209" s="129"/>
      <c r="P209" s="129"/>
      <c r="Q209" s="129"/>
      <c r="R209" s="129"/>
      <c r="S209" s="129"/>
      <c r="T209" s="129"/>
      <c r="U209" s="129"/>
      <c r="V209" s="129"/>
      <c r="W209" s="129"/>
      <c r="X209" s="129"/>
      <c r="Y209" s="129"/>
      <c r="Z209" s="129"/>
      <c r="AA209" s="129"/>
      <c r="AB209" s="129"/>
      <c r="AC209" s="129"/>
      <c r="AD209" s="129"/>
      <c r="AE209" s="129"/>
      <c r="AF209" s="129"/>
      <c r="AG209" s="129"/>
      <c r="AH209" s="129"/>
      <c r="AI209" s="129"/>
      <c r="AK209" s="140"/>
      <c r="AL209" s="129"/>
    </row>
    <row r="210" spans="6:38" ht="15" hidden="1" x14ac:dyDescent="0.25">
      <c r="F210" s="129"/>
      <c r="G210" s="129"/>
      <c r="H210" s="129"/>
      <c r="I210" s="129"/>
      <c r="J210" s="129"/>
      <c r="K210" s="129"/>
      <c r="L210" s="129"/>
      <c r="M210" s="129"/>
      <c r="N210" s="129"/>
      <c r="O210" s="129"/>
      <c r="P210" s="129"/>
      <c r="Q210" s="129"/>
      <c r="R210" s="129"/>
      <c r="S210" s="129"/>
      <c r="T210" s="129"/>
      <c r="U210" s="129"/>
      <c r="V210" s="129"/>
      <c r="W210" s="129"/>
      <c r="X210" s="129"/>
      <c r="Y210" s="129"/>
      <c r="Z210" s="129"/>
      <c r="AA210" s="129"/>
      <c r="AB210" s="129"/>
      <c r="AC210" s="129"/>
      <c r="AD210" s="129"/>
      <c r="AE210" s="129"/>
      <c r="AF210" s="129"/>
      <c r="AG210" s="129"/>
      <c r="AH210" s="129"/>
      <c r="AI210" s="129"/>
      <c r="AK210" s="140"/>
      <c r="AL210" s="129"/>
    </row>
    <row r="211" spans="6:38" ht="15" hidden="1" x14ac:dyDescent="0.25">
      <c r="F211" s="129"/>
      <c r="G211" s="129"/>
      <c r="H211" s="129"/>
      <c r="I211" s="129"/>
      <c r="J211" s="129"/>
      <c r="K211" s="129"/>
      <c r="L211" s="129"/>
      <c r="M211" s="129"/>
      <c r="N211" s="129"/>
      <c r="O211" s="129"/>
      <c r="P211" s="129"/>
      <c r="Q211" s="129"/>
      <c r="R211" s="129"/>
      <c r="S211" s="129"/>
      <c r="T211" s="129"/>
      <c r="U211" s="129"/>
      <c r="V211" s="129"/>
      <c r="W211" s="129"/>
      <c r="X211" s="129"/>
      <c r="Y211" s="129"/>
      <c r="Z211" s="129"/>
      <c r="AA211" s="129"/>
      <c r="AB211" s="129"/>
      <c r="AC211" s="129"/>
      <c r="AD211" s="129"/>
      <c r="AE211" s="129"/>
      <c r="AF211" s="129"/>
      <c r="AG211" s="129"/>
      <c r="AH211" s="129"/>
      <c r="AI211" s="129"/>
      <c r="AK211" s="140"/>
      <c r="AL211" s="129"/>
    </row>
    <row r="212" spans="6:38" ht="15" hidden="1" x14ac:dyDescent="0.25">
      <c r="F212" s="129"/>
      <c r="G212" s="129"/>
      <c r="H212" s="129"/>
      <c r="I212" s="129"/>
      <c r="J212" s="129"/>
      <c r="K212" s="129"/>
      <c r="L212" s="129"/>
      <c r="M212" s="129"/>
      <c r="N212" s="129"/>
      <c r="O212" s="129"/>
      <c r="P212" s="129"/>
      <c r="Q212" s="129"/>
      <c r="R212" s="129"/>
      <c r="S212" s="129"/>
      <c r="T212" s="129"/>
      <c r="U212" s="129"/>
      <c r="V212" s="129"/>
      <c r="W212" s="129"/>
      <c r="X212" s="129"/>
      <c r="Y212" s="129"/>
      <c r="Z212" s="129"/>
      <c r="AA212" s="129"/>
      <c r="AB212" s="129"/>
      <c r="AC212" s="129"/>
      <c r="AD212" s="129"/>
      <c r="AE212" s="129"/>
      <c r="AF212" s="129"/>
      <c r="AG212" s="129"/>
      <c r="AH212" s="129"/>
      <c r="AI212" s="129"/>
      <c r="AK212" s="140"/>
      <c r="AL212" s="129"/>
    </row>
    <row r="213" spans="6:38" ht="15" hidden="1" x14ac:dyDescent="0.25">
      <c r="F213" s="129"/>
      <c r="G213" s="129"/>
      <c r="H213" s="129"/>
      <c r="I213" s="129"/>
      <c r="J213" s="129"/>
      <c r="K213" s="129"/>
      <c r="L213" s="129"/>
      <c r="M213" s="129"/>
      <c r="N213" s="129"/>
      <c r="O213" s="129"/>
      <c r="P213" s="129"/>
      <c r="Q213" s="129"/>
      <c r="R213" s="129"/>
      <c r="S213" s="129"/>
      <c r="T213" s="129"/>
      <c r="U213" s="129"/>
      <c r="V213" s="129"/>
      <c r="W213" s="129"/>
      <c r="X213" s="129"/>
      <c r="Y213" s="129"/>
      <c r="Z213" s="129"/>
      <c r="AA213" s="129"/>
      <c r="AB213" s="129"/>
      <c r="AC213" s="129"/>
      <c r="AD213" s="129"/>
      <c r="AE213" s="129"/>
      <c r="AF213" s="129"/>
      <c r="AG213" s="129"/>
      <c r="AH213" s="129"/>
      <c r="AI213" s="129"/>
      <c r="AK213" s="140"/>
      <c r="AL213" s="129"/>
    </row>
    <row r="214" spans="6:38" ht="15" hidden="1" x14ac:dyDescent="0.25">
      <c r="F214" s="129"/>
      <c r="G214" s="129"/>
      <c r="H214" s="129"/>
      <c r="I214" s="129"/>
      <c r="J214" s="129"/>
      <c r="K214" s="129"/>
      <c r="L214" s="129"/>
      <c r="M214" s="129"/>
      <c r="N214" s="129"/>
      <c r="O214" s="129"/>
      <c r="P214" s="129"/>
      <c r="Q214" s="129"/>
      <c r="R214" s="129"/>
      <c r="S214" s="129"/>
      <c r="T214" s="129"/>
      <c r="U214" s="129"/>
      <c r="V214" s="129"/>
      <c r="W214" s="129"/>
      <c r="X214" s="129"/>
      <c r="Y214" s="129"/>
      <c r="Z214" s="129"/>
      <c r="AA214" s="129"/>
      <c r="AB214" s="129"/>
      <c r="AC214" s="129"/>
      <c r="AD214" s="129"/>
      <c r="AE214" s="129"/>
      <c r="AF214" s="129"/>
      <c r="AG214" s="129"/>
      <c r="AH214" s="129"/>
      <c r="AI214" s="129"/>
      <c r="AK214" s="140"/>
      <c r="AL214" s="129"/>
    </row>
    <row r="215" spans="6:38" ht="15" hidden="1" x14ac:dyDescent="0.25">
      <c r="F215" s="129"/>
      <c r="G215" s="129"/>
      <c r="H215" s="129"/>
      <c r="I215" s="129"/>
      <c r="J215" s="129"/>
      <c r="K215" s="129"/>
      <c r="L215" s="129"/>
      <c r="M215" s="129"/>
      <c r="N215" s="129"/>
      <c r="O215" s="129"/>
      <c r="P215" s="129"/>
      <c r="Q215" s="129"/>
      <c r="R215" s="129"/>
      <c r="S215" s="129"/>
      <c r="T215" s="129"/>
      <c r="U215" s="129"/>
      <c r="V215" s="129"/>
      <c r="W215" s="129"/>
      <c r="X215" s="129"/>
      <c r="Y215" s="129"/>
      <c r="Z215" s="129"/>
      <c r="AA215" s="129"/>
      <c r="AB215" s="129"/>
      <c r="AC215" s="129"/>
      <c r="AD215" s="129"/>
      <c r="AE215" s="129"/>
      <c r="AF215" s="129"/>
      <c r="AG215" s="129"/>
      <c r="AH215" s="129"/>
      <c r="AI215" s="129"/>
      <c r="AK215" s="140"/>
      <c r="AL215" s="129"/>
    </row>
    <row r="216" spans="6:38" ht="15" hidden="1" x14ac:dyDescent="0.25">
      <c r="F216" s="129"/>
      <c r="G216" s="129"/>
      <c r="H216" s="129"/>
      <c r="I216" s="129"/>
      <c r="J216" s="129"/>
      <c r="K216" s="129"/>
      <c r="L216" s="129"/>
      <c r="M216" s="129"/>
      <c r="N216" s="129"/>
      <c r="O216" s="129"/>
      <c r="P216" s="129"/>
      <c r="Q216" s="129"/>
      <c r="R216" s="129"/>
      <c r="S216" s="129"/>
      <c r="T216" s="129"/>
      <c r="U216" s="129"/>
      <c r="V216" s="129"/>
      <c r="W216" s="129"/>
      <c r="X216" s="129"/>
      <c r="Y216" s="129"/>
      <c r="Z216" s="129"/>
      <c r="AA216" s="129"/>
      <c r="AB216" s="129"/>
      <c r="AC216" s="129"/>
      <c r="AD216" s="129"/>
      <c r="AE216" s="129"/>
      <c r="AF216" s="129"/>
      <c r="AG216" s="129"/>
      <c r="AH216" s="129"/>
      <c r="AI216" s="129"/>
      <c r="AK216" s="140"/>
      <c r="AL216" s="129"/>
    </row>
    <row r="217" spans="6:38" ht="15" hidden="1" x14ac:dyDescent="0.25">
      <c r="F217" s="129"/>
      <c r="G217" s="129"/>
      <c r="H217" s="129"/>
      <c r="I217" s="129"/>
      <c r="J217" s="129"/>
      <c r="K217" s="129"/>
      <c r="L217" s="129"/>
      <c r="M217" s="129"/>
      <c r="N217" s="129"/>
      <c r="O217" s="129"/>
      <c r="P217" s="129"/>
      <c r="Q217" s="129"/>
      <c r="R217" s="129"/>
      <c r="S217" s="129"/>
      <c r="T217" s="129"/>
      <c r="U217" s="129"/>
      <c r="V217" s="129"/>
      <c r="W217" s="129"/>
      <c r="X217" s="129"/>
      <c r="Y217" s="129"/>
      <c r="Z217" s="129"/>
      <c r="AA217" s="129"/>
      <c r="AB217" s="129"/>
      <c r="AC217" s="129"/>
      <c r="AD217" s="129"/>
      <c r="AE217" s="129"/>
      <c r="AF217" s="129"/>
      <c r="AG217" s="129"/>
      <c r="AH217" s="129"/>
      <c r="AI217" s="129"/>
      <c r="AK217" s="140"/>
      <c r="AL217" s="129"/>
    </row>
    <row r="218" spans="6:38" ht="15" hidden="1" x14ac:dyDescent="0.25">
      <c r="F218" s="129"/>
      <c r="G218" s="129"/>
      <c r="H218" s="129"/>
      <c r="I218" s="129"/>
      <c r="J218" s="129"/>
      <c r="K218" s="129"/>
      <c r="L218" s="129"/>
      <c r="M218" s="129"/>
      <c r="N218" s="129"/>
      <c r="O218" s="129"/>
      <c r="P218" s="129"/>
      <c r="Q218" s="129"/>
      <c r="R218" s="129"/>
      <c r="S218" s="129"/>
      <c r="T218" s="129"/>
      <c r="U218" s="129"/>
      <c r="V218" s="129"/>
      <c r="W218" s="129"/>
      <c r="X218" s="129"/>
      <c r="Y218" s="129"/>
      <c r="Z218" s="129"/>
      <c r="AA218" s="129"/>
      <c r="AB218" s="129"/>
      <c r="AC218" s="129"/>
      <c r="AD218" s="129"/>
      <c r="AE218" s="129"/>
      <c r="AF218" s="129"/>
      <c r="AG218" s="129"/>
      <c r="AH218" s="129"/>
      <c r="AI218" s="129"/>
      <c r="AK218" s="140"/>
      <c r="AL218" s="129"/>
    </row>
    <row r="219" spans="6:38" ht="15" hidden="1" x14ac:dyDescent="0.25">
      <c r="F219" s="129"/>
      <c r="G219" s="129"/>
      <c r="H219" s="129"/>
      <c r="I219" s="129"/>
      <c r="J219" s="129"/>
      <c r="K219" s="129"/>
      <c r="L219" s="129"/>
      <c r="M219" s="129"/>
      <c r="N219" s="129"/>
      <c r="O219" s="129"/>
      <c r="P219" s="129"/>
      <c r="Q219" s="129"/>
      <c r="R219" s="129"/>
      <c r="S219" s="129"/>
      <c r="T219" s="129"/>
      <c r="U219" s="129"/>
      <c r="V219" s="129"/>
      <c r="W219" s="129"/>
      <c r="X219" s="129"/>
      <c r="Y219" s="129"/>
      <c r="Z219" s="129"/>
      <c r="AA219" s="129"/>
      <c r="AB219" s="129"/>
      <c r="AC219" s="129"/>
      <c r="AD219" s="129"/>
      <c r="AE219" s="129"/>
      <c r="AF219" s="129"/>
      <c r="AG219" s="129"/>
      <c r="AH219" s="129"/>
      <c r="AI219" s="129"/>
      <c r="AK219" s="140"/>
      <c r="AL219" s="129"/>
    </row>
    <row r="220" spans="6:38" ht="15" hidden="1" x14ac:dyDescent="0.25">
      <c r="F220" s="129"/>
      <c r="G220" s="129"/>
      <c r="H220" s="129"/>
      <c r="I220" s="129"/>
      <c r="J220" s="129"/>
      <c r="K220" s="129"/>
      <c r="L220" s="129"/>
      <c r="M220" s="129"/>
      <c r="N220" s="129"/>
      <c r="O220" s="129"/>
      <c r="P220" s="129"/>
      <c r="Q220" s="129"/>
      <c r="R220" s="129"/>
      <c r="S220" s="129"/>
      <c r="T220" s="129"/>
      <c r="U220" s="129"/>
      <c r="V220" s="129"/>
      <c r="W220" s="129"/>
      <c r="X220" s="129"/>
      <c r="Y220" s="129"/>
      <c r="Z220" s="129"/>
      <c r="AA220" s="129"/>
      <c r="AB220" s="129"/>
      <c r="AC220" s="129"/>
      <c r="AD220" s="129"/>
      <c r="AE220" s="129"/>
      <c r="AF220" s="129"/>
      <c r="AG220" s="129"/>
      <c r="AH220" s="129"/>
      <c r="AI220" s="129"/>
      <c r="AK220" s="140"/>
      <c r="AL220" s="129"/>
    </row>
    <row r="221" spans="6:38" ht="15" hidden="1" x14ac:dyDescent="0.25">
      <c r="F221" s="129"/>
      <c r="G221" s="129"/>
      <c r="H221" s="129"/>
      <c r="I221" s="129"/>
      <c r="J221" s="129"/>
      <c r="K221" s="129"/>
      <c r="L221" s="129"/>
      <c r="M221" s="129"/>
      <c r="N221" s="129"/>
      <c r="O221" s="129"/>
      <c r="P221" s="129"/>
      <c r="Q221" s="129"/>
      <c r="R221" s="129"/>
      <c r="S221" s="129"/>
      <c r="T221" s="129"/>
      <c r="U221" s="129"/>
      <c r="V221" s="129"/>
      <c r="W221" s="129"/>
      <c r="X221" s="129"/>
      <c r="Y221" s="129"/>
      <c r="Z221" s="129"/>
      <c r="AA221" s="129"/>
      <c r="AB221" s="129"/>
      <c r="AC221" s="129"/>
      <c r="AD221" s="129"/>
      <c r="AE221" s="129"/>
      <c r="AF221" s="129"/>
      <c r="AG221" s="129"/>
      <c r="AH221" s="129"/>
      <c r="AI221" s="129"/>
      <c r="AK221" s="140"/>
      <c r="AL221" s="129"/>
    </row>
    <row r="222" spans="6:38" ht="15" hidden="1" x14ac:dyDescent="0.25">
      <c r="F222" s="129"/>
      <c r="G222" s="129"/>
      <c r="H222" s="129"/>
      <c r="I222" s="129"/>
      <c r="J222" s="129"/>
      <c r="K222" s="129"/>
      <c r="L222" s="129"/>
      <c r="M222" s="129"/>
      <c r="N222" s="129"/>
      <c r="O222" s="129"/>
      <c r="P222" s="129"/>
      <c r="Q222" s="129"/>
      <c r="R222" s="129"/>
      <c r="S222" s="129"/>
      <c r="T222" s="129"/>
      <c r="U222" s="129"/>
      <c r="V222" s="129"/>
      <c r="W222" s="129"/>
      <c r="X222" s="129"/>
      <c r="Y222" s="129"/>
      <c r="Z222" s="129"/>
      <c r="AA222" s="129"/>
      <c r="AB222" s="129"/>
      <c r="AC222" s="129"/>
      <c r="AD222" s="129"/>
      <c r="AE222" s="129"/>
      <c r="AF222" s="129"/>
      <c r="AG222" s="129"/>
      <c r="AH222" s="129"/>
      <c r="AI222" s="129"/>
      <c r="AK222" s="140"/>
      <c r="AL222" s="129"/>
    </row>
    <row r="223" spans="6:38" ht="15" hidden="1" x14ac:dyDescent="0.25">
      <c r="F223" s="129"/>
      <c r="G223" s="129"/>
      <c r="H223" s="129"/>
      <c r="I223" s="129"/>
      <c r="J223" s="129"/>
      <c r="K223" s="129"/>
      <c r="L223" s="129"/>
      <c r="M223" s="129"/>
      <c r="N223" s="129"/>
      <c r="O223" s="129"/>
      <c r="P223" s="129"/>
      <c r="Q223" s="129"/>
      <c r="R223" s="129"/>
      <c r="S223" s="129"/>
      <c r="T223" s="129"/>
      <c r="U223" s="129"/>
      <c r="V223" s="129"/>
      <c r="W223" s="129"/>
      <c r="X223" s="129"/>
      <c r="Y223" s="129"/>
      <c r="Z223" s="129"/>
      <c r="AA223" s="129"/>
      <c r="AB223" s="129"/>
      <c r="AC223" s="129"/>
      <c r="AD223" s="129"/>
      <c r="AE223" s="129"/>
      <c r="AF223" s="129"/>
      <c r="AG223" s="129"/>
      <c r="AH223" s="129"/>
      <c r="AI223" s="129"/>
      <c r="AK223" s="140"/>
      <c r="AL223" s="129"/>
    </row>
    <row r="224" spans="6:38" ht="15" hidden="1" x14ac:dyDescent="0.25">
      <c r="F224" s="129"/>
      <c r="G224" s="129"/>
      <c r="H224" s="129"/>
      <c r="I224" s="129"/>
      <c r="J224" s="129"/>
      <c r="K224" s="129"/>
      <c r="L224" s="129"/>
      <c r="M224" s="129"/>
      <c r="N224" s="129"/>
      <c r="O224" s="129"/>
      <c r="P224" s="129"/>
      <c r="Q224" s="129"/>
      <c r="R224" s="129"/>
      <c r="S224" s="129"/>
      <c r="T224" s="129"/>
      <c r="U224" s="129"/>
      <c r="V224" s="129"/>
      <c r="W224" s="129"/>
      <c r="X224" s="129"/>
      <c r="Y224" s="129"/>
      <c r="Z224" s="129"/>
      <c r="AA224" s="129"/>
      <c r="AB224" s="129"/>
      <c r="AC224" s="129"/>
      <c r="AD224" s="129"/>
      <c r="AE224" s="129"/>
      <c r="AF224" s="129"/>
      <c r="AG224" s="129"/>
      <c r="AH224" s="129"/>
      <c r="AI224" s="129"/>
      <c r="AK224" s="140"/>
      <c r="AL224" s="129"/>
    </row>
    <row r="225" spans="6:38" ht="15" hidden="1" x14ac:dyDescent="0.25">
      <c r="F225" s="129"/>
      <c r="G225" s="129"/>
      <c r="H225" s="129"/>
      <c r="I225" s="129"/>
      <c r="J225" s="129"/>
      <c r="K225" s="129"/>
      <c r="L225" s="129"/>
      <c r="M225" s="129"/>
      <c r="N225" s="129"/>
      <c r="O225" s="129"/>
      <c r="P225" s="129"/>
      <c r="Q225" s="129"/>
      <c r="R225" s="129"/>
      <c r="S225" s="129"/>
      <c r="T225" s="129"/>
      <c r="U225" s="129"/>
      <c r="V225" s="129"/>
      <c r="W225" s="129"/>
      <c r="X225" s="129"/>
      <c r="Y225" s="129"/>
      <c r="Z225" s="129"/>
      <c r="AA225" s="129"/>
      <c r="AB225" s="129"/>
      <c r="AC225" s="129"/>
      <c r="AD225" s="129"/>
      <c r="AE225" s="129"/>
      <c r="AF225" s="129"/>
      <c r="AG225" s="129"/>
      <c r="AH225" s="129"/>
      <c r="AI225" s="129"/>
      <c r="AK225" s="140"/>
      <c r="AL225" s="129"/>
    </row>
    <row r="226" spans="6:38" ht="15" hidden="1" x14ac:dyDescent="0.25">
      <c r="F226" s="129"/>
      <c r="G226" s="129"/>
      <c r="H226" s="129"/>
      <c r="I226" s="129"/>
      <c r="J226" s="129"/>
      <c r="K226" s="129"/>
      <c r="L226" s="129"/>
      <c r="M226" s="129"/>
      <c r="N226" s="129"/>
      <c r="O226" s="129"/>
      <c r="P226" s="129"/>
      <c r="Q226" s="129"/>
      <c r="R226" s="129"/>
      <c r="S226" s="129"/>
      <c r="T226" s="129"/>
      <c r="U226" s="129"/>
      <c r="V226" s="129"/>
      <c r="W226" s="129"/>
      <c r="X226" s="129"/>
      <c r="Y226" s="129"/>
      <c r="Z226" s="129"/>
      <c r="AA226" s="129"/>
      <c r="AB226" s="129"/>
      <c r="AC226" s="129"/>
      <c r="AD226" s="129"/>
      <c r="AE226" s="129"/>
      <c r="AF226" s="129"/>
      <c r="AG226" s="129"/>
      <c r="AH226" s="129"/>
      <c r="AI226" s="129"/>
      <c r="AK226" s="140"/>
      <c r="AL226" s="129"/>
    </row>
    <row r="227" spans="6:38" ht="15" hidden="1" x14ac:dyDescent="0.25">
      <c r="F227" s="129"/>
      <c r="G227" s="129"/>
      <c r="H227" s="129"/>
      <c r="I227" s="129"/>
      <c r="J227" s="129"/>
      <c r="K227" s="129"/>
      <c r="L227" s="129"/>
      <c r="M227" s="129"/>
      <c r="N227" s="129"/>
      <c r="O227" s="129"/>
      <c r="P227" s="129"/>
      <c r="Q227" s="129"/>
      <c r="R227" s="129"/>
      <c r="S227" s="129"/>
      <c r="T227" s="129"/>
      <c r="U227" s="129"/>
      <c r="V227" s="129"/>
      <c r="W227" s="129"/>
      <c r="X227" s="129"/>
      <c r="Y227" s="129"/>
      <c r="Z227" s="129"/>
      <c r="AA227" s="129"/>
      <c r="AB227" s="129"/>
      <c r="AC227" s="129"/>
      <c r="AD227" s="129"/>
      <c r="AE227" s="129"/>
      <c r="AF227" s="129"/>
      <c r="AG227" s="129"/>
      <c r="AH227" s="129"/>
      <c r="AI227" s="129"/>
      <c r="AK227" s="140"/>
      <c r="AL227" s="129"/>
    </row>
    <row r="228" spans="6:38" ht="15" hidden="1" x14ac:dyDescent="0.25">
      <c r="F228" s="129"/>
      <c r="G228" s="129"/>
      <c r="H228" s="129"/>
      <c r="I228" s="129"/>
      <c r="J228" s="129"/>
      <c r="K228" s="129"/>
      <c r="L228" s="129"/>
      <c r="M228" s="129"/>
      <c r="N228" s="129"/>
      <c r="O228" s="129"/>
      <c r="P228" s="129"/>
      <c r="Q228" s="129"/>
      <c r="R228" s="129"/>
      <c r="S228" s="129"/>
      <c r="T228" s="129"/>
      <c r="U228" s="129"/>
      <c r="V228" s="129"/>
      <c r="W228" s="129"/>
      <c r="X228" s="129"/>
      <c r="Y228" s="129"/>
      <c r="Z228" s="129"/>
      <c r="AA228" s="129"/>
      <c r="AB228" s="129"/>
      <c r="AC228" s="129"/>
      <c r="AD228" s="129"/>
      <c r="AE228" s="129"/>
      <c r="AF228" s="129"/>
      <c r="AG228" s="129"/>
      <c r="AH228" s="129"/>
      <c r="AI228" s="129"/>
      <c r="AK228" s="140"/>
      <c r="AL228" s="129"/>
    </row>
    <row r="229" spans="6:38" ht="15" hidden="1" x14ac:dyDescent="0.25">
      <c r="F229" s="129"/>
      <c r="G229" s="129"/>
      <c r="H229" s="129"/>
      <c r="I229" s="129"/>
      <c r="J229" s="129"/>
      <c r="K229" s="129"/>
      <c r="L229" s="129"/>
      <c r="M229" s="129"/>
      <c r="N229" s="129"/>
      <c r="O229" s="129"/>
      <c r="P229" s="129"/>
      <c r="Q229" s="129"/>
      <c r="R229" s="129"/>
      <c r="S229" s="129"/>
      <c r="T229" s="129"/>
      <c r="U229" s="129"/>
      <c r="V229" s="129"/>
      <c r="W229" s="129"/>
      <c r="X229" s="129"/>
      <c r="Y229" s="129"/>
      <c r="Z229" s="129"/>
      <c r="AA229" s="129"/>
      <c r="AB229" s="129"/>
      <c r="AC229" s="129"/>
      <c r="AD229" s="129"/>
      <c r="AE229" s="129"/>
      <c r="AF229" s="129"/>
      <c r="AG229" s="129"/>
      <c r="AH229" s="129"/>
      <c r="AI229" s="129"/>
      <c r="AK229" s="140"/>
      <c r="AL229" s="129"/>
    </row>
    <row r="230" spans="6:38" ht="15" hidden="1" x14ac:dyDescent="0.25">
      <c r="F230" s="129"/>
      <c r="G230" s="129"/>
      <c r="H230" s="129"/>
      <c r="I230" s="129"/>
      <c r="J230" s="129"/>
      <c r="K230" s="129"/>
      <c r="L230" s="129"/>
      <c r="M230" s="129"/>
      <c r="N230" s="129"/>
      <c r="O230" s="129"/>
      <c r="P230" s="129"/>
      <c r="Q230" s="129"/>
      <c r="R230" s="129"/>
      <c r="S230" s="129"/>
      <c r="T230" s="129"/>
      <c r="U230" s="129"/>
      <c r="V230" s="129"/>
      <c r="W230" s="129"/>
      <c r="X230" s="129"/>
      <c r="Y230" s="129"/>
      <c r="Z230" s="129"/>
      <c r="AA230" s="129"/>
      <c r="AB230" s="129"/>
      <c r="AC230" s="129"/>
      <c r="AD230" s="129"/>
      <c r="AE230" s="129"/>
      <c r="AF230" s="129"/>
      <c r="AG230" s="129"/>
      <c r="AH230" s="129"/>
      <c r="AI230" s="129"/>
      <c r="AK230" s="140"/>
      <c r="AL230" s="129"/>
    </row>
    <row r="231" spans="6:38" ht="15" hidden="1" x14ac:dyDescent="0.25">
      <c r="F231" s="129"/>
      <c r="G231" s="129"/>
      <c r="H231" s="129"/>
      <c r="I231" s="129"/>
      <c r="J231" s="129"/>
      <c r="K231" s="129"/>
      <c r="L231" s="129"/>
      <c r="M231" s="129"/>
      <c r="N231" s="129"/>
      <c r="O231" s="129"/>
      <c r="P231" s="129"/>
      <c r="Q231" s="129"/>
      <c r="R231" s="129"/>
      <c r="S231" s="129"/>
      <c r="T231" s="129"/>
      <c r="U231" s="129"/>
      <c r="V231" s="129"/>
      <c r="W231" s="129"/>
      <c r="X231" s="129"/>
      <c r="Y231" s="129"/>
      <c r="Z231" s="129"/>
      <c r="AA231" s="129"/>
      <c r="AB231" s="129"/>
      <c r="AC231" s="129"/>
      <c r="AD231" s="129"/>
      <c r="AE231" s="129"/>
      <c r="AF231" s="129"/>
      <c r="AG231" s="129"/>
      <c r="AH231" s="129"/>
      <c r="AI231" s="129"/>
      <c r="AK231" s="140"/>
      <c r="AL231" s="129"/>
    </row>
    <row r="232" spans="6:38" ht="15" hidden="1" x14ac:dyDescent="0.25">
      <c r="F232" s="129"/>
      <c r="G232" s="129"/>
      <c r="H232" s="129"/>
      <c r="I232" s="129"/>
      <c r="J232" s="129"/>
      <c r="K232" s="129"/>
      <c r="L232" s="129"/>
      <c r="M232" s="129"/>
      <c r="N232" s="129"/>
      <c r="O232" s="129"/>
      <c r="P232" s="129"/>
      <c r="Q232" s="129"/>
      <c r="R232" s="129"/>
      <c r="S232" s="129"/>
      <c r="T232" s="129"/>
      <c r="U232" s="129"/>
      <c r="V232" s="129"/>
      <c r="W232" s="129"/>
      <c r="X232" s="129"/>
      <c r="Y232" s="129"/>
      <c r="Z232" s="129"/>
      <c r="AA232" s="129"/>
      <c r="AB232" s="129"/>
      <c r="AC232" s="129"/>
      <c r="AD232" s="129"/>
      <c r="AE232" s="129"/>
      <c r="AF232" s="129"/>
      <c r="AG232" s="129"/>
      <c r="AH232" s="129"/>
      <c r="AI232" s="129"/>
      <c r="AK232" s="140"/>
      <c r="AL232" s="129"/>
    </row>
    <row r="233" spans="6:38" ht="15" hidden="1" x14ac:dyDescent="0.25">
      <c r="F233" s="129"/>
      <c r="G233" s="129"/>
      <c r="H233" s="129"/>
      <c r="I233" s="129"/>
      <c r="J233" s="129"/>
      <c r="K233" s="129"/>
      <c r="L233" s="129"/>
      <c r="M233" s="129"/>
      <c r="N233" s="129"/>
      <c r="O233" s="129"/>
      <c r="P233" s="129"/>
      <c r="Q233" s="129"/>
      <c r="R233" s="129"/>
      <c r="S233" s="129"/>
      <c r="T233" s="129"/>
      <c r="U233" s="129"/>
      <c r="V233" s="129"/>
      <c r="W233" s="129"/>
      <c r="X233" s="129"/>
      <c r="Y233" s="129"/>
      <c r="Z233" s="129"/>
      <c r="AA233" s="129"/>
      <c r="AB233" s="129"/>
      <c r="AC233" s="129"/>
      <c r="AD233" s="129"/>
      <c r="AE233" s="129"/>
      <c r="AF233" s="129"/>
      <c r="AG233" s="129"/>
      <c r="AH233" s="129"/>
      <c r="AI233" s="129"/>
      <c r="AK233" s="140"/>
      <c r="AL233" s="129"/>
    </row>
    <row r="234" spans="6:38" ht="15" hidden="1" x14ac:dyDescent="0.25">
      <c r="F234" s="129"/>
      <c r="G234" s="129"/>
      <c r="H234" s="129"/>
      <c r="I234" s="129"/>
      <c r="J234" s="129"/>
      <c r="K234" s="129"/>
      <c r="L234" s="129"/>
      <c r="M234" s="129"/>
      <c r="N234" s="129"/>
      <c r="O234" s="129"/>
      <c r="P234" s="129"/>
      <c r="Q234" s="129"/>
      <c r="R234" s="129"/>
      <c r="S234" s="129"/>
      <c r="T234" s="129"/>
      <c r="U234" s="129"/>
      <c r="V234" s="129"/>
      <c r="W234" s="129"/>
      <c r="X234" s="129"/>
      <c r="Y234" s="129"/>
      <c r="Z234" s="129"/>
      <c r="AA234" s="129"/>
      <c r="AB234" s="129"/>
      <c r="AC234" s="129"/>
      <c r="AD234" s="129"/>
      <c r="AE234" s="129"/>
      <c r="AF234" s="129"/>
      <c r="AG234" s="129"/>
      <c r="AH234" s="129"/>
      <c r="AI234" s="129"/>
      <c r="AK234" s="140"/>
      <c r="AL234" s="129"/>
    </row>
    <row r="235" spans="6:38" ht="15" hidden="1" x14ac:dyDescent="0.25">
      <c r="F235" s="129"/>
      <c r="G235" s="129"/>
      <c r="H235" s="129"/>
      <c r="I235" s="129"/>
      <c r="J235" s="129"/>
      <c r="K235" s="129"/>
      <c r="L235" s="129"/>
      <c r="M235" s="129"/>
      <c r="N235" s="129"/>
      <c r="O235" s="129"/>
      <c r="P235" s="129"/>
      <c r="Q235" s="129"/>
      <c r="R235" s="129"/>
      <c r="S235" s="129"/>
      <c r="T235" s="129"/>
      <c r="U235" s="129"/>
      <c r="V235" s="129"/>
      <c r="W235" s="129"/>
      <c r="X235" s="129"/>
      <c r="Y235" s="129"/>
      <c r="Z235" s="129"/>
      <c r="AA235" s="129"/>
      <c r="AB235" s="129"/>
      <c r="AC235" s="129"/>
      <c r="AD235" s="129"/>
      <c r="AE235" s="129"/>
      <c r="AF235" s="129"/>
      <c r="AG235" s="129"/>
      <c r="AH235" s="129"/>
      <c r="AI235" s="129"/>
      <c r="AK235" s="140"/>
      <c r="AL235" s="129"/>
    </row>
    <row r="236" spans="6:38" ht="15" hidden="1" x14ac:dyDescent="0.25">
      <c r="F236" s="129"/>
      <c r="G236" s="129"/>
      <c r="H236" s="129"/>
      <c r="I236" s="129"/>
      <c r="J236" s="129"/>
      <c r="K236" s="129"/>
      <c r="L236" s="129"/>
      <c r="M236" s="129"/>
      <c r="N236" s="129"/>
      <c r="O236" s="129"/>
      <c r="P236" s="129"/>
      <c r="Q236" s="129"/>
      <c r="R236" s="129"/>
      <c r="S236" s="129"/>
      <c r="T236" s="129"/>
      <c r="U236" s="129"/>
      <c r="V236" s="129"/>
      <c r="W236" s="129"/>
      <c r="X236" s="129"/>
      <c r="Y236" s="129"/>
      <c r="Z236" s="129"/>
      <c r="AA236" s="129"/>
      <c r="AB236" s="129"/>
      <c r="AC236" s="129"/>
      <c r="AD236" s="129"/>
      <c r="AE236" s="129"/>
      <c r="AF236" s="129"/>
      <c r="AG236" s="129"/>
      <c r="AH236" s="129"/>
      <c r="AI236" s="129"/>
      <c r="AK236" s="140"/>
      <c r="AL236" s="129"/>
    </row>
    <row r="237" spans="6:38" ht="15" hidden="1" x14ac:dyDescent="0.25">
      <c r="F237" s="129"/>
      <c r="G237" s="129"/>
      <c r="H237" s="129"/>
      <c r="I237" s="129"/>
      <c r="J237" s="129"/>
      <c r="K237" s="129"/>
      <c r="L237" s="129"/>
      <c r="M237" s="129"/>
      <c r="N237" s="129"/>
      <c r="O237" s="129"/>
      <c r="P237" s="129"/>
      <c r="Q237" s="129"/>
      <c r="R237" s="129"/>
      <c r="S237" s="129"/>
      <c r="T237" s="129"/>
      <c r="U237" s="129"/>
      <c r="V237" s="129"/>
      <c r="W237" s="129"/>
      <c r="X237" s="129"/>
      <c r="Y237" s="129"/>
      <c r="Z237" s="129"/>
      <c r="AA237" s="129"/>
      <c r="AB237" s="129"/>
      <c r="AC237" s="129"/>
      <c r="AD237" s="129"/>
      <c r="AE237" s="129"/>
      <c r="AF237" s="129"/>
      <c r="AG237" s="129"/>
      <c r="AH237" s="129"/>
      <c r="AI237" s="129"/>
      <c r="AK237" s="140"/>
      <c r="AL237" s="129"/>
    </row>
    <row r="238" spans="6:38" ht="15" hidden="1" x14ac:dyDescent="0.25">
      <c r="F238" s="129"/>
      <c r="G238" s="129"/>
      <c r="H238" s="129"/>
      <c r="I238" s="129"/>
      <c r="J238" s="129"/>
      <c r="K238" s="129"/>
      <c r="L238" s="129"/>
      <c r="M238" s="129"/>
      <c r="N238" s="129"/>
      <c r="O238" s="129"/>
      <c r="P238" s="129"/>
      <c r="Q238" s="129"/>
      <c r="R238" s="129"/>
      <c r="S238" s="129"/>
      <c r="T238" s="129"/>
      <c r="U238" s="129"/>
      <c r="V238" s="129"/>
      <c r="W238" s="129"/>
      <c r="X238" s="129"/>
      <c r="Y238" s="129"/>
      <c r="Z238" s="129"/>
      <c r="AA238" s="129"/>
      <c r="AB238" s="129"/>
      <c r="AC238" s="129"/>
      <c r="AD238" s="129"/>
      <c r="AE238" s="129"/>
      <c r="AF238" s="129"/>
      <c r="AG238" s="129"/>
      <c r="AH238" s="129"/>
      <c r="AI238" s="129"/>
      <c r="AK238" s="140"/>
      <c r="AL238" s="129"/>
    </row>
    <row r="239" spans="6:38" ht="15" hidden="1" x14ac:dyDescent="0.25">
      <c r="F239" s="129"/>
      <c r="G239" s="129"/>
      <c r="H239" s="129"/>
      <c r="I239" s="129"/>
      <c r="J239" s="129"/>
      <c r="K239" s="129"/>
      <c r="L239" s="129"/>
      <c r="M239" s="129"/>
      <c r="N239" s="129"/>
      <c r="O239" s="129"/>
      <c r="P239" s="129"/>
      <c r="Q239" s="129"/>
      <c r="R239" s="129"/>
      <c r="S239" s="129"/>
      <c r="T239" s="129"/>
      <c r="U239" s="129"/>
      <c r="V239" s="129"/>
      <c r="W239" s="129"/>
      <c r="X239" s="129"/>
      <c r="Y239" s="129"/>
      <c r="Z239" s="129"/>
      <c r="AA239" s="129"/>
      <c r="AB239" s="129"/>
      <c r="AC239" s="129"/>
      <c r="AD239" s="129"/>
      <c r="AE239" s="129"/>
      <c r="AF239" s="129"/>
      <c r="AG239" s="129"/>
      <c r="AH239" s="129"/>
      <c r="AI239" s="129"/>
      <c r="AK239" s="140"/>
      <c r="AL239" s="129"/>
    </row>
    <row r="240" spans="6:38" ht="15" hidden="1" x14ac:dyDescent="0.25">
      <c r="F240" s="129"/>
      <c r="G240" s="129"/>
      <c r="H240" s="129"/>
      <c r="I240" s="129"/>
      <c r="J240" s="129"/>
      <c r="K240" s="129"/>
      <c r="L240" s="129"/>
      <c r="M240" s="129"/>
      <c r="N240" s="129"/>
      <c r="O240" s="129"/>
      <c r="P240" s="129"/>
      <c r="Q240" s="129"/>
      <c r="R240" s="129"/>
      <c r="S240" s="129"/>
      <c r="T240" s="129"/>
      <c r="U240" s="129"/>
      <c r="V240" s="129"/>
      <c r="W240" s="129"/>
      <c r="X240" s="129"/>
      <c r="Y240" s="129"/>
      <c r="Z240" s="129"/>
      <c r="AA240" s="129"/>
      <c r="AB240" s="129"/>
      <c r="AC240" s="129"/>
      <c r="AD240" s="129"/>
      <c r="AE240" s="129"/>
      <c r="AF240" s="129"/>
      <c r="AG240" s="129"/>
      <c r="AH240" s="129"/>
      <c r="AI240" s="129"/>
      <c r="AK240" s="140"/>
      <c r="AL240" s="129"/>
    </row>
    <row r="241" spans="6:38" ht="15" hidden="1" x14ac:dyDescent="0.25">
      <c r="F241" s="129"/>
      <c r="G241" s="129"/>
      <c r="H241" s="129"/>
      <c r="I241" s="129"/>
      <c r="J241" s="129"/>
      <c r="K241" s="129"/>
      <c r="L241" s="129"/>
      <c r="M241" s="129"/>
      <c r="N241" s="129"/>
      <c r="O241" s="129"/>
      <c r="P241" s="129"/>
      <c r="Q241" s="129"/>
      <c r="R241" s="129"/>
      <c r="S241" s="129"/>
      <c r="T241" s="129"/>
      <c r="U241" s="129"/>
      <c r="V241" s="129"/>
      <c r="W241" s="129"/>
      <c r="X241" s="129"/>
      <c r="Y241" s="129"/>
      <c r="Z241" s="129"/>
      <c r="AA241" s="129"/>
      <c r="AB241" s="129"/>
      <c r="AC241" s="129"/>
      <c r="AD241" s="129"/>
      <c r="AE241" s="129"/>
      <c r="AF241" s="129"/>
      <c r="AG241" s="129"/>
      <c r="AH241" s="129"/>
      <c r="AI241" s="129"/>
      <c r="AK241" s="140"/>
      <c r="AL241" s="129"/>
    </row>
    <row r="242" spans="6:38" ht="15" hidden="1" x14ac:dyDescent="0.25">
      <c r="F242" s="129"/>
      <c r="G242" s="129"/>
      <c r="H242" s="129"/>
      <c r="I242" s="129"/>
      <c r="J242" s="129"/>
      <c r="K242" s="129"/>
      <c r="L242" s="129"/>
      <c r="M242" s="129"/>
      <c r="N242" s="129"/>
      <c r="O242" s="129"/>
      <c r="P242" s="129"/>
      <c r="Q242" s="129"/>
      <c r="R242" s="129"/>
      <c r="S242" s="129"/>
      <c r="T242" s="129"/>
      <c r="U242" s="129"/>
      <c r="V242" s="129"/>
      <c r="W242" s="129"/>
      <c r="X242" s="129"/>
      <c r="Y242" s="129"/>
      <c r="Z242" s="129"/>
      <c r="AA242" s="129"/>
      <c r="AB242" s="129"/>
      <c r="AC242" s="129"/>
      <c r="AD242" s="129"/>
      <c r="AE242" s="129"/>
      <c r="AF242" s="129"/>
      <c r="AG242" s="129"/>
      <c r="AH242" s="129"/>
      <c r="AI242" s="129"/>
      <c r="AK242" s="140"/>
      <c r="AL242" s="129"/>
    </row>
    <row r="243" spans="6:38" ht="15" hidden="1" x14ac:dyDescent="0.25">
      <c r="F243" s="129"/>
      <c r="G243" s="129"/>
      <c r="H243" s="129"/>
      <c r="I243" s="129"/>
      <c r="J243" s="129"/>
      <c r="K243" s="129"/>
      <c r="L243" s="129"/>
      <c r="M243" s="129"/>
      <c r="N243" s="129"/>
      <c r="O243" s="129"/>
      <c r="P243" s="129"/>
      <c r="Q243" s="129"/>
      <c r="R243" s="129"/>
      <c r="S243" s="129"/>
      <c r="T243" s="129"/>
      <c r="U243" s="129"/>
      <c r="V243" s="129"/>
      <c r="W243" s="129"/>
      <c r="X243" s="129"/>
      <c r="Y243" s="129"/>
      <c r="Z243" s="129"/>
      <c r="AA243" s="129"/>
      <c r="AB243" s="129"/>
      <c r="AC243" s="129"/>
      <c r="AD243" s="129"/>
      <c r="AE243" s="129"/>
      <c r="AF243" s="129"/>
      <c r="AG243" s="129"/>
      <c r="AH243" s="129"/>
      <c r="AI243" s="129"/>
      <c r="AK243" s="140"/>
      <c r="AL243" s="129"/>
    </row>
    <row r="244" spans="6:38" ht="15" hidden="1" x14ac:dyDescent="0.25">
      <c r="F244" s="129"/>
      <c r="G244" s="129"/>
      <c r="H244" s="129"/>
      <c r="I244" s="129"/>
      <c r="J244" s="129"/>
      <c r="K244" s="129"/>
      <c r="L244" s="129"/>
      <c r="M244" s="129"/>
      <c r="N244" s="129"/>
      <c r="O244" s="129"/>
      <c r="P244" s="129"/>
      <c r="Q244" s="129"/>
      <c r="R244" s="129"/>
      <c r="S244" s="129"/>
      <c r="T244" s="129"/>
      <c r="U244" s="129"/>
      <c r="V244" s="129"/>
      <c r="W244" s="129"/>
      <c r="X244" s="129"/>
      <c r="Y244" s="129"/>
      <c r="Z244" s="129"/>
      <c r="AA244" s="129"/>
      <c r="AB244" s="129"/>
      <c r="AC244" s="129"/>
      <c r="AD244" s="129"/>
      <c r="AE244" s="129"/>
      <c r="AF244" s="129"/>
      <c r="AG244" s="129"/>
      <c r="AH244" s="129"/>
      <c r="AI244" s="129"/>
      <c r="AK244" s="140"/>
      <c r="AL244" s="129"/>
    </row>
    <row r="245" spans="6:38" ht="15" hidden="1" x14ac:dyDescent="0.25">
      <c r="F245" s="129"/>
      <c r="G245" s="129"/>
      <c r="H245" s="129"/>
      <c r="I245" s="129"/>
      <c r="J245" s="129"/>
      <c r="K245" s="129"/>
      <c r="L245" s="129"/>
      <c r="M245" s="129"/>
      <c r="N245" s="129"/>
      <c r="O245" s="129"/>
      <c r="P245" s="129"/>
      <c r="Q245" s="129"/>
      <c r="R245" s="129"/>
      <c r="S245" s="129"/>
      <c r="T245" s="129"/>
      <c r="U245" s="129"/>
      <c r="V245" s="129"/>
      <c r="W245" s="129"/>
      <c r="X245" s="129"/>
      <c r="Y245" s="129"/>
      <c r="Z245" s="129"/>
      <c r="AA245" s="129"/>
      <c r="AB245" s="129"/>
      <c r="AC245" s="129"/>
      <c r="AD245" s="129"/>
      <c r="AE245" s="129"/>
      <c r="AF245" s="129"/>
      <c r="AG245" s="129"/>
      <c r="AH245" s="129"/>
      <c r="AI245" s="129"/>
      <c r="AK245" s="140"/>
      <c r="AL245" s="129"/>
    </row>
    <row r="246" spans="6:38" ht="15" hidden="1" x14ac:dyDescent="0.25">
      <c r="F246" s="129"/>
      <c r="G246" s="129"/>
      <c r="H246" s="129"/>
      <c r="I246" s="129"/>
      <c r="J246" s="129"/>
      <c r="K246" s="129"/>
      <c r="L246" s="129"/>
      <c r="M246" s="129"/>
      <c r="N246" s="129"/>
      <c r="O246" s="129"/>
      <c r="P246" s="129"/>
      <c r="Q246" s="129"/>
      <c r="R246" s="129"/>
      <c r="S246" s="129"/>
      <c r="T246" s="129"/>
      <c r="U246" s="129"/>
      <c r="V246" s="129"/>
      <c r="W246" s="129"/>
      <c r="X246" s="129"/>
      <c r="Y246" s="129"/>
      <c r="Z246" s="129"/>
      <c r="AA246" s="129"/>
      <c r="AB246" s="129"/>
      <c r="AC246" s="129"/>
      <c r="AD246" s="129"/>
      <c r="AE246" s="129"/>
      <c r="AF246" s="129"/>
      <c r="AG246" s="129"/>
      <c r="AH246" s="129"/>
      <c r="AI246" s="129"/>
      <c r="AK246" s="140"/>
      <c r="AL246" s="129"/>
    </row>
    <row r="247" spans="6:38" ht="15" hidden="1" x14ac:dyDescent="0.25">
      <c r="F247" s="129"/>
      <c r="G247" s="129"/>
      <c r="H247" s="129"/>
      <c r="I247" s="129"/>
      <c r="J247" s="129"/>
      <c r="K247" s="129"/>
      <c r="L247" s="129"/>
      <c r="M247" s="129"/>
      <c r="N247" s="129"/>
      <c r="O247" s="129"/>
      <c r="P247" s="129"/>
      <c r="Q247" s="129"/>
      <c r="R247" s="129"/>
      <c r="S247" s="129"/>
      <c r="T247" s="129"/>
      <c r="U247" s="129"/>
      <c r="V247" s="129"/>
      <c r="W247" s="129"/>
      <c r="X247" s="129"/>
      <c r="Y247" s="129"/>
      <c r="Z247" s="129"/>
      <c r="AA247" s="129"/>
      <c r="AB247" s="129"/>
      <c r="AC247" s="129"/>
      <c r="AD247" s="129"/>
      <c r="AE247" s="129"/>
      <c r="AF247" s="129"/>
      <c r="AG247" s="129"/>
      <c r="AH247" s="129"/>
      <c r="AI247" s="129"/>
      <c r="AK247" s="140"/>
      <c r="AL247" s="129"/>
    </row>
    <row r="248" spans="6:38" ht="15" hidden="1" x14ac:dyDescent="0.25">
      <c r="F248" s="129"/>
      <c r="G248" s="129"/>
      <c r="H248" s="129"/>
      <c r="I248" s="129"/>
      <c r="J248" s="129"/>
      <c r="K248" s="129"/>
      <c r="L248" s="129"/>
      <c r="M248" s="129"/>
      <c r="N248" s="129"/>
      <c r="O248" s="129"/>
      <c r="P248" s="129"/>
      <c r="Q248" s="129"/>
      <c r="R248" s="129"/>
      <c r="S248" s="129"/>
      <c r="T248" s="129"/>
      <c r="U248" s="129"/>
      <c r="V248" s="129"/>
      <c r="W248" s="129"/>
      <c r="X248" s="129"/>
      <c r="Y248" s="129"/>
      <c r="Z248" s="129"/>
      <c r="AA248" s="129"/>
      <c r="AB248" s="129"/>
      <c r="AC248" s="129"/>
      <c r="AD248" s="129"/>
      <c r="AE248" s="129"/>
      <c r="AF248" s="129"/>
      <c r="AG248" s="129"/>
      <c r="AH248" s="129"/>
      <c r="AI248" s="129"/>
      <c r="AK248" s="140"/>
      <c r="AL248" s="129"/>
    </row>
    <row r="249" spans="6:38" ht="15" hidden="1" x14ac:dyDescent="0.25">
      <c r="F249" s="129"/>
      <c r="G249" s="129"/>
      <c r="H249" s="129"/>
      <c r="I249" s="129"/>
      <c r="J249" s="129"/>
      <c r="K249" s="129"/>
      <c r="L249" s="129"/>
      <c r="M249" s="129"/>
      <c r="N249" s="129"/>
      <c r="O249" s="129"/>
      <c r="P249" s="129"/>
      <c r="Q249" s="129"/>
      <c r="R249" s="129"/>
      <c r="S249" s="129"/>
      <c r="T249" s="129"/>
      <c r="U249" s="129"/>
      <c r="V249" s="129"/>
      <c r="W249" s="129"/>
      <c r="X249" s="129"/>
      <c r="Y249" s="129"/>
      <c r="Z249" s="129"/>
      <c r="AA249" s="129"/>
      <c r="AB249" s="129"/>
      <c r="AC249" s="129"/>
      <c r="AD249" s="129"/>
      <c r="AE249" s="129"/>
      <c r="AF249" s="129"/>
      <c r="AG249" s="129"/>
      <c r="AH249" s="129"/>
      <c r="AI249" s="129"/>
      <c r="AK249" s="140"/>
      <c r="AL249" s="129"/>
    </row>
    <row r="250" spans="6:38" ht="15" hidden="1" x14ac:dyDescent="0.25">
      <c r="F250" s="129"/>
      <c r="G250" s="129"/>
      <c r="H250" s="129"/>
      <c r="I250" s="129"/>
      <c r="J250" s="129"/>
      <c r="K250" s="129"/>
      <c r="L250" s="129"/>
      <c r="M250" s="129"/>
      <c r="N250" s="129"/>
      <c r="O250" s="129"/>
      <c r="P250" s="129"/>
      <c r="Q250" s="129"/>
      <c r="R250" s="129"/>
      <c r="S250" s="129"/>
      <c r="T250" s="129"/>
      <c r="U250" s="129"/>
      <c r="V250" s="129"/>
      <c r="W250" s="129"/>
      <c r="X250" s="129"/>
      <c r="Y250" s="129"/>
      <c r="Z250" s="129"/>
      <c r="AA250" s="129"/>
      <c r="AB250" s="129"/>
      <c r="AC250" s="129"/>
      <c r="AD250" s="129"/>
      <c r="AE250" s="129"/>
      <c r="AF250" s="129"/>
      <c r="AG250" s="129"/>
      <c r="AH250" s="129"/>
      <c r="AI250" s="129"/>
      <c r="AK250" s="140"/>
      <c r="AL250" s="129"/>
    </row>
    <row r="251" spans="6:38" ht="15" hidden="1" x14ac:dyDescent="0.25">
      <c r="F251" s="129"/>
      <c r="G251" s="129"/>
      <c r="H251" s="129"/>
      <c r="I251" s="129"/>
      <c r="J251" s="129"/>
      <c r="K251" s="129"/>
      <c r="L251" s="129"/>
      <c r="M251" s="129"/>
      <c r="N251" s="129"/>
      <c r="O251" s="129"/>
      <c r="P251" s="129"/>
      <c r="Q251" s="129"/>
      <c r="R251" s="129"/>
      <c r="S251" s="129"/>
      <c r="T251" s="129"/>
      <c r="U251" s="129"/>
      <c r="V251" s="129"/>
      <c r="W251" s="129"/>
      <c r="X251" s="129"/>
      <c r="Y251" s="129"/>
      <c r="Z251" s="129"/>
      <c r="AA251" s="129"/>
      <c r="AB251" s="129"/>
      <c r="AC251" s="129"/>
      <c r="AD251" s="129"/>
      <c r="AE251" s="129"/>
      <c r="AF251" s="129"/>
      <c r="AG251" s="129"/>
      <c r="AH251" s="129"/>
      <c r="AI251" s="129"/>
      <c r="AK251" s="140"/>
      <c r="AL251" s="129"/>
    </row>
    <row r="252" spans="6:38" ht="15" hidden="1" x14ac:dyDescent="0.25">
      <c r="F252" s="129"/>
      <c r="G252" s="129"/>
      <c r="H252" s="129"/>
      <c r="I252" s="129"/>
      <c r="J252" s="129"/>
      <c r="K252" s="129"/>
      <c r="L252" s="129"/>
      <c r="M252" s="129"/>
      <c r="N252" s="129"/>
      <c r="O252" s="129"/>
      <c r="P252" s="129"/>
      <c r="Q252" s="129"/>
      <c r="R252" s="129"/>
      <c r="S252" s="129"/>
      <c r="T252" s="129"/>
      <c r="U252" s="129"/>
      <c r="V252" s="129"/>
      <c r="W252" s="129"/>
      <c r="X252" s="129"/>
      <c r="Y252" s="129"/>
      <c r="Z252" s="129"/>
      <c r="AA252" s="129"/>
      <c r="AB252" s="129"/>
      <c r="AC252" s="129"/>
      <c r="AD252" s="129"/>
      <c r="AE252" s="129"/>
      <c r="AF252" s="129"/>
      <c r="AG252" s="129"/>
      <c r="AH252" s="129"/>
      <c r="AI252" s="129"/>
      <c r="AK252" s="140"/>
      <c r="AL252" s="129"/>
    </row>
    <row r="253" spans="6:38" ht="15" hidden="1" x14ac:dyDescent="0.25">
      <c r="F253" s="129"/>
      <c r="G253" s="129"/>
      <c r="H253" s="129"/>
      <c r="I253" s="129"/>
      <c r="J253" s="129"/>
      <c r="K253" s="129"/>
      <c r="L253" s="129"/>
      <c r="M253" s="129"/>
      <c r="N253" s="129"/>
      <c r="O253" s="129"/>
      <c r="P253" s="129"/>
      <c r="Q253" s="129"/>
      <c r="R253" s="129"/>
      <c r="S253" s="129"/>
      <c r="T253" s="129"/>
      <c r="U253" s="129"/>
      <c r="V253" s="129"/>
      <c r="W253" s="129"/>
      <c r="X253" s="129"/>
      <c r="Y253" s="129"/>
      <c r="Z253" s="129"/>
      <c r="AA253" s="129"/>
      <c r="AB253" s="129"/>
      <c r="AC253" s="129"/>
      <c r="AD253" s="129"/>
      <c r="AE253" s="129"/>
      <c r="AF253" s="129"/>
      <c r="AG253" s="129"/>
      <c r="AH253" s="129"/>
      <c r="AI253" s="129"/>
      <c r="AK253" s="140"/>
      <c r="AL253" s="129"/>
    </row>
    <row r="254" spans="6:38" ht="15" hidden="1" x14ac:dyDescent="0.25">
      <c r="F254" s="129"/>
      <c r="G254" s="129"/>
      <c r="H254" s="129"/>
      <c r="I254" s="129"/>
      <c r="J254" s="129"/>
      <c r="K254" s="129"/>
      <c r="L254" s="129"/>
      <c r="M254" s="129"/>
      <c r="N254" s="129"/>
      <c r="O254" s="129"/>
      <c r="P254" s="129"/>
      <c r="Q254" s="129"/>
      <c r="R254" s="129"/>
      <c r="S254" s="129"/>
      <c r="T254" s="129"/>
      <c r="U254" s="129"/>
      <c r="V254" s="129"/>
      <c r="W254" s="129"/>
      <c r="X254" s="129"/>
      <c r="Y254" s="129"/>
      <c r="Z254" s="129"/>
      <c r="AA254" s="129"/>
      <c r="AB254" s="129"/>
      <c r="AC254" s="129"/>
      <c r="AD254" s="129"/>
      <c r="AE254" s="129"/>
      <c r="AF254" s="129"/>
      <c r="AG254" s="129"/>
      <c r="AH254" s="129"/>
      <c r="AI254" s="129"/>
      <c r="AK254" s="140"/>
      <c r="AL254" s="129"/>
    </row>
    <row r="255" spans="6:38" ht="15" hidden="1" x14ac:dyDescent="0.25">
      <c r="F255" s="129"/>
      <c r="G255" s="129"/>
      <c r="H255" s="129"/>
      <c r="I255" s="129"/>
      <c r="J255" s="129"/>
      <c r="K255" s="129"/>
      <c r="L255" s="129"/>
      <c r="M255" s="129"/>
      <c r="N255" s="129"/>
      <c r="O255" s="129"/>
      <c r="P255" s="129"/>
      <c r="Q255" s="129"/>
      <c r="R255" s="129"/>
      <c r="S255" s="129"/>
      <c r="T255" s="129"/>
      <c r="U255" s="129"/>
      <c r="V255" s="129"/>
      <c r="W255" s="129"/>
      <c r="X255" s="129"/>
      <c r="Y255" s="129"/>
      <c r="Z255" s="129"/>
      <c r="AA255" s="129"/>
      <c r="AB255" s="129"/>
      <c r="AC255" s="129"/>
      <c r="AD255" s="129"/>
      <c r="AE255" s="129"/>
      <c r="AF255" s="129"/>
      <c r="AG255" s="129"/>
      <c r="AH255" s="129"/>
      <c r="AI255" s="129"/>
      <c r="AK255" s="140"/>
      <c r="AL255" s="129"/>
    </row>
    <row r="256" spans="6:38" ht="15" hidden="1" x14ac:dyDescent="0.25">
      <c r="F256" s="129"/>
      <c r="G256" s="129"/>
      <c r="H256" s="129"/>
      <c r="I256" s="129"/>
      <c r="J256" s="129"/>
      <c r="K256" s="129"/>
      <c r="L256" s="129"/>
      <c r="M256" s="129"/>
      <c r="N256" s="129"/>
      <c r="O256" s="129"/>
      <c r="P256" s="129"/>
      <c r="Q256" s="129"/>
      <c r="R256" s="129"/>
      <c r="S256" s="129"/>
      <c r="T256" s="129"/>
      <c r="U256" s="129"/>
      <c r="V256" s="129"/>
      <c r="W256" s="129"/>
      <c r="X256" s="129"/>
      <c r="Y256" s="129"/>
      <c r="Z256" s="129"/>
      <c r="AA256" s="129"/>
      <c r="AB256" s="129"/>
      <c r="AC256" s="129"/>
      <c r="AD256" s="129"/>
      <c r="AE256" s="129"/>
      <c r="AF256" s="129"/>
      <c r="AG256" s="129"/>
      <c r="AH256" s="129"/>
      <c r="AI256" s="129"/>
      <c r="AK256" s="140"/>
      <c r="AL256" s="129"/>
    </row>
    <row r="257" spans="6:38" ht="15" hidden="1" x14ac:dyDescent="0.25">
      <c r="F257" s="129"/>
      <c r="G257" s="129"/>
      <c r="H257" s="129"/>
      <c r="I257" s="129"/>
      <c r="J257" s="129"/>
      <c r="K257" s="129"/>
      <c r="L257" s="129"/>
      <c r="M257" s="129"/>
      <c r="N257" s="129"/>
      <c r="O257" s="129"/>
      <c r="P257" s="129"/>
      <c r="Q257" s="129"/>
      <c r="R257" s="129"/>
      <c r="S257" s="129"/>
      <c r="T257" s="129"/>
      <c r="U257" s="129"/>
      <c r="V257" s="129"/>
      <c r="W257" s="129"/>
      <c r="X257" s="129"/>
      <c r="Y257" s="129"/>
      <c r="Z257" s="129"/>
      <c r="AA257" s="129"/>
      <c r="AB257" s="129"/>
      <c r="AC257" s="129"/>
      <c r="AD257" s="129"/>
      <c r="AE257" s="129"/>
      <c r="AF257" s="129"/>
      <c r="AG257" s="129"/>
      <c r="AH257" s="129"/>
      <c r="AI257" s="129"/>
      <c r="AK257" s="140"/>
      <c r="AL257" s="129"/>
    </row>
    <row r="258" spans="6:38" ht="15" hidden="1" x14ac:dyDescent="0.25">
      <c r="F258" s="129"/>
      <c r="G258" s="129"/>
      <c r="H258" s="129"/>
      <c r="I258" s="129"/>
      <c r="J258" s="129"/>
      <c r="K258" s="129"/>
      <c r="L258" s="129"/>
      <c r="M258" s="129"/>
      <c r="N258" s="129"/>
      <c r="O258" s="129"/>
      <c r="P258" s="129"/>
      <c r="Q258" s="129"/>
      <c r="R258" s="129"/>
      <c r="S258" s="129"/>
      <c r="T258" s="129"/>
      <c r="U258" s="129"/>
      <c r="V258" s="129"/>
      <c r="W258" s="129"/>
      <c r="X258" s="129"/>
      <c r="Y258" s="129"/>
      <c r="Z258" s="129"/>
      <c r="AA258" s="129"/>
      <c r="AB258" s="129"/>
      <c r="AC258" s="129"/>
      <c r="AD258" s="129"/>
      <c r="AE258" s="129"/>
      <c r="AF258" s="129"/>
      <c r="AG258" s="129"/>
      <c r="AH258" s="129"/>
      <c r="AI258" s="129"/>
      <c r="AK258" s="140"/>
      <c r="AL258" s="129"/>
    </row>
    <row r="259" spans="6:38" ht="15" hidden="1" x14ac:dyDescent="0.25">
      <c r="F259" s="129"/>
      <c r="G259" s="129"/>
      <c r="H259" s="129"/>
      <c r="I259" s="129"/>
      <c r="J259" s="129"/>
      <c r="K259" s="129"/>
      <c r="L259" s="129"/>
      <c r="M259" s="129"/>
      <c r="N259" s="129"/>
      <c r="O259" s="129"/>
      <c r="P259" s="129"/>
      <c r="Q259" s="129"/>
      <c r="R259" s="129"/>
      <c r="S259" s="129"/>
      <c r="T259" s="129"/>
      <c r="U259" s="129"/>
      <c r="V259" s="129"/>
      <c r="W259" s="129"/>
      <c r="X259" s="129"/>
      <c r="Y259" s="129"/>
      <c r="Z259" s="129"/>
      <c r="AA259" s="129"/>
      <c r="AB259" s="129"/>
      <c r="AC259" s="129"/>
      <c r="AD259" s="129"/>
      <c r="AE259" s="129"/>
      <c r="AF259" s="129"/>
      <c r="AG259" s="129"/>
      <c r="AH259" s="129"/>
      <c r="AI259" s="129"/>
      <c r="AK259" s="140"/>
      <c r="AL259" s="129"/>
    </row>
    <row r="260" spans="6:38" ht="15" hidden="1" x14ac:dyDescent="0.25">
      <c r="F260" s="129"/>
      <c r="G260" s="129"/>
      <c r="H260" s="129"/>
      <c r="I260" s="129"/>
      <c r="J260" s="129"/>
      <c r="K260" s="129"/>
      <c r="L260" s="129"/>
      <c r="M260" s="129"/>
      <c r="N260" s="129"/>
      <c r="O260" s="129"/>
      <c r="P260" s="129"/>
      <c r="Q260" s="129"/>
      <c r="R260" s="129"/>
      <c r="S260" s="129"/>
      <c r="T260" s="129"/>
      <c r="U260" s="129"/>
      <c r="V260" s="129"/>
      <c r="W260" s="129"/>
      <c r="X260" s="129"/>
      <c r="Y260" s="129"/>
      <c r="Z260" s="129"/>
      <c r="AA260" s="129"/>
      <c r="AB260" s="129"/>
      <c r="AC260" s="129"/>
      <c r="AD260" s="129"/>
      <c r="AE260" s="129"/>
      <c r="AF260" s="129"/>
      <c r="AG260" s="129"/>
      <c r="AH260" s="129"/>
      <c r="AI260" s="129"/>
      <c r="AK260" s="140"/>
      <c r="AL260" s="129"/>
    </row>
    <row r="261" spans="6:38" ht="15" hidden="1" x14ac:dyDescent="0.25">
      <c r="F261" s="129"/>
      <c r="G261" s="129"/>
      <c r="H261" s="129"/>
      <c r="I261" s="129"/>
      <c r="J261" s="129"/>
      <c r="K261" s="129"/>
      <c r="L261" s="129"/>
      <c r="M261" s="129"/>
      <c r="N261" s="129"/>
      <c r="O261" s="129"/>
      <c r="P261" s="129"/>
      <c r="Q261" s="129"/>
      <c r="R261" s="129"/>
      <c r="S261" s="129"/>
      <c r="T261" s="129"/>
      <c r="U261" s="129"/>
      <c r="V261" s="129"/>
      <c r="W261" s="129"/>
      <c r="X261" s="129"/>
      <c r="Y261" s="129"/>
      <c r="Z261" s="129"/>
      <c r="AA261" s="129"/>
      <c r="AB261" s="129"/>
      <c r="AC261" s="129"/>
      <c r="AD261" s="129"/>
      <c r="AE261" s="129"/>
      <c r="AF261" s="129"/>
      <c r="AG261" s="129"/>
      <c r="AH261" s="129"/>
      <c r="AI261" s="129"/>
      <c r="AK261" s="140"/>
      <c r="AL261" s="129"/>
    </row>
    <row r="262" spans="6:38" ht="15" hidden="1" x14ac:dyDescent="0.25">
      <c r="F262" s="129"/>
      <c r="G262" s="129"/>
      <c r="H262" s="129"/>
      <c r="I262" s="129"/>
      <c r="J262" s="129"/>
      <c r="K262" s="129"/>
      <c r="L262" s="129"/>
      <c r="M262" s="129"/>
      <c r="N262" s="129"/>
      <c r="O262" s="129"/>
      <c r="P262" s="129"/>
      <c r="Q262" s="129"/>
      <c r="R262" s="129"/>
      <c r="S262" s="129"/>
      <c r="T262" s="129"/>
      <c r="U262" s="129"/>
      <c r="V262" s="129"/>
      <c r="W262" s="129"/>
      <c r="X262" s="129"/>
      <c r="Y262" s="129"/>
      <c r="Z262" s="129"/>
      <c r="AA262" s="129"/>
      <c r="AB262" s="129"/>
      <c r="AC262" s="129"/>
      <c r="AD262" s="129"/>
      <c r="AE262" s="129"/>
      <c r="AF262" s="129"/>
      <c r="AG262" s="129"/>
      <c r="AH262" s="129"/>
      <c r="AI262" s="129"/>
      <c r="AK262" s="140"/>
      <c r="AL262" s="129"/>
    </row>
    <row r="263" spans="6:38" ht="15" hidden="1" x14ac:dyDescent="0.25">
      <c r="F263" s="129"/>
      <c r="G263" s="129"/>
      <c r="H263" s="129"/>
      <c r="I263" s="129"/>
      <c r="J263" s="129"/>
      <c r="K263" s="129"/>
      <c r="L263" s="129"/>
      <c r="M263" s="129"/>
      <c r="N263" s="129"/>
      <c r="O263" s="129"/>
      <c r="P263" s="129"/>
      <c r="Q263" s="129"/>
      <c r="R263" s="129"/>
      <c r="S263" s="129"/>
      <c r="T263" s="129"/>
      <c r="U263" s="129"/>
      <c r="V263" s="129"/>
      <c r="W263" s="129"/>
      <c r="X263" s="129"/>
      <c r="Y263" s="129"/>
      <c r="Z263" s="129"/>
      <c r="AA263" s="129"/>
      <c r="AB263" s="129"/>
      <c r="AC263" s="129"/>
      <c r="AD263" s="129"/>
      <c r="AE263" s="129"/>
      <c r="AF263" s="129"/>
      <c r="AG263" s="129"/>
      <c r="AH263" s="129"/>
      <c r="AI263" s="129"/>
      <c r="AK263" s="140"/>
      <c r="AL263" s="129"/>
    </row>
    <row r="264" spans="6:38" ht="15" hidden="1" x14ac:dyDescent="0.25">
      <c r="F264" s="129"/>
      <c r="G264" s="129"/>
      <c r="H264" s="129"/>
      <c r="I264" s="129"/>
      <c r="J264" s="129"/>
      <c r="K264" s="129"/>
      <c r="L264" s="129"/>
      <c r="M264" s="129"/>
      <c r="N264" s="129"/>
      <c r="O264" s="129"/>
      <c r="P264" s="129"/>
      <c r="Q264" s="129"/>
      <c r="R264" s="129"/>
      <c r="S264" s="129"/>
      <c r="T264" s="129"/>
      <c r="U264" s="129"/>
      <c r="V264" s="129"/>
      <c r="W264" s="129"/>
      <c r="X264" s="129"/>
      <c r="Y264" s="129"/>
      <c r="Z264" s="129"/>
      <c r="AA264" s="129"/>
      <c r="AB264" s="129"/>
      <c r="AC264" s="129"/>
      <c r="AD264" s="129"/>
      <c r="AE264" s="129"/>
      <c r="AF264" s="129"/>
      <c r="AG264" s="129"/>
      <c r="AH264" s="129"/>
      <c r="AI264" s="129"/>
      <c r="AK264" s="140"/>
      <c r="AL264" s="129"/>
    </row>
    <row r="265" spans="6:38" ht="15" hidden="1" x14ac:dyDescent="0.25">
      <c r="F265" s="129"/>
      <c r="G265" s="129"/>
      <c r="H265" s="129"/>
      <c r="I265" s="129"/>
      <c r="J265" s="129"/>
      <c r="K265" s="129"/>
      <c r="L265" s="129"/>
      <c r="M265" s="129"/>
      <c r="N265" s="129"/>
      <c r="O265" s="129"/>
      <c r="P265" s="129"/>
      <c r="Q265" s="129"/>
      <c r="R265" s="129"/>
      <c r="S265" s="129"/>
      <c r="T265" s="129"/>
      <c r="U265" s="129"/>
      <c r="V265" s="129"/>
      <c r="W265" s="129"/>
      <c r="X265" s="129"/>
      <c r="Y265" s="129"/>
      <c r="Z265" s="129"/>
      <c r="AA265" s="129"/>
      <c r="AB265" s="129"/>
      <c r="AC265" s="129"/>
      <c r="AD265" s="129"/>
      <c r="AE265" s="129"/>
      <c r="AF265" s="129"/>
      <c r="AG265" s="129"/>
      <c r="AH265" s="129"/>
      <c r="AI265" s="129"/>
      <c r="AK265" s="140"/>
      <c r="AL265" s="129"/>
    </row>
    <row r="266" spans="6:38" ht="15" hidden="1" x14ac:dyDescent="0.25">
      <c r="F266" s="129"/>
      <c r="G266" s="129"/>
      <c r="H266" s="129"/>
      <c r="I266" s="129"/>
      <c r="J266" s="129"/>
      <c r="K266" s="129"/>
      <c r="L266" s="129"/>
      <c r="M266" s="129"/>
      <c r="N266" s="129"/>
      <c r="O266" s="129"/>
      <c r="P266" s="129"/>
      <c r="Q266" s="129"/>
      <c r="R266" s="129"/>
      <c r="S266" s="129"/>
      <c r="T266" s="129"/>
      <c r="U266" s="129"/>
      <c r="V266" s="129"/>
      <c r="W266" s="129"/>
      <c r="X266" s="129"/>
      <c r="Y266" s="129"/>
      <c r="Z266" s="129"/>
      <c r="AA266" s="129"/>
      <c r="AB266" s="129"/>
      <c r="AC266" s="129"/>
      <c r="AD266" s="129"/>
      <c r="AE266" s="129"/>
      <c r="AF266" s="129"/>
      <c r="AG266" s="129"/>
      <c r="AH266" s="129"/>
      <c r="AI266" s="129"/>
      <c r="AK266" s="140"/>
      <c r="AL266" s="129"/>
    </row>
    <row r="267" spans="6:38" ht="15" hidden="1" x14ac:dyDescent="0.25">
      <c r="F267" s="129"/>
      <c r="G267" s="129"/>
      <c r="H267" s="129"/>
      <c r="I267" s="129"/>
      <c r="J267" s="129"/>
      <c r="K267" s="129"/>
      <c r="L267" s="129"/>
      <c r="M267" s="129"/>
      <c r="N267" s="129"/>
      <c r="O267" s="129"/>
      <c r="P267" s="129"/>
      <c r="Q267" s="129"/>
      <c r="R267" s="129"/>
      <c r="S267" s="129"/>
      <c r="T267" s="129"/>
      <c r="U267" s="129"/>
      <c r="V267" s="129"/>
      <c r="W267" s="129"/>
      <c r="X267" s="129"/>
      <c r="Y267" s="129"/>
      <c r="Z267" s="129"/>
      <c r="AA267" s="129"/>
      <c r="AB267" s="129"/>
      <c r="AC267" s="129"/>
      <c r="AD267" s="129"/>
      <c r="AE267" s="129"/>
      <c r="AF267" s="129"/>
      <c r="AG267" s="129"/>
      <c r="AH267" s="129"/>
      <c r="AI267" s="129"/>
      <c r="AK267" s="140"/>
      <c r="AL267" s="129"/>
    </row>
    <row r="268" spans="6:38" ht="15" hidden="1" x14ac:dyDescent="0.25">
      <c r="F268" s="129"/>
      <c r="G268" s="129"/>
      <c r="H268" s="129"/>
      <c r="I268" s="129"/>
      <c r="J268" s="129"/>
      <c r="K268" s="129"/>
      <c r="L268" s="129"/>
      <c r="M268" s="129"/>
      <c r="N268" s="129"/>
      <c r="O268" s="129"/>
      <c r="P268" s="129"/>
      <c r="Q268" s="129"/>
      <c r="R268" s="129"/>
      <c r="S268" s="129"/>
      <c r="T268" s="129"/>
      <c r="U268" s="129"/>
      <c r="V268" s="129"/>
      <c r="W268" s="129"/>
      <c r="X268" s="129"/>
      <c r="Y268" s="129"/>
      <c r="Z268" s="129"/>
      <c r="AA268" s="129"/>
      <c r="AB268" s="129"/>
      <c r="AC268" s="129"/>
      <c r="AD268" s="129"/>
      <c r="AE268" s="129"/>
      <c r="AF268" s="129"/>
      <c r="AG268" s="129"/>
      <c r="AH268" s="129"/>
      <c r="AI268" s="129"/>
      <c r="AK268" s="140"/>
      <c r="AL268" s="129"/>
    </row>
    <row r="269" spans="6:38" ht="15" hidden="1" x14ac:dyDescent="0.25">
      <c r="F269" s="129"/>
      <c r="G269" s="129"/>
      <c r="H269" s="129"/>
      <c r="I269" s="129"/>
      <c r="J269" s="129"/>
      <c r="K269" s="129"/>
      <c r="L269" s="129"/>
      <c r="M269" s="129"/>
      <c r="N269" s="129"/>
      <c r="O269" s="129"/>
      <c r="P269" s="129"/>
      <c r="Q269" s="129"/>
      <c r="R269" s="129"/>
      <c r="S269" s="129"/>
      <c r="T269" s="129"/>
      <c r="U269" s="129"/>
      <c r="V269" s="129"/>
      <c r="W269" s="129"/>
      <c r="X269" s="129"/>
      <c r="Y269" s="129"/>
      <c r="Z269" s="129"/>
      <c r="AA269" s="129"/>
      <c r="AB269" s="129"/>
      <c r="AC269" s="129"/>
      <c r="AD269" s="129"/>
      <c r="AE269" s="129"/>
      <c r="AF269" s="129"/>
      <c r="AG269" s="129"/>
      <c r="AH269" s="129"/>
      <c r="AI269" s="129"/>
      <c r="AK269" s="140"/>
      <c r="AL269" s="129"/>
    </row>
    <row r="270" spans="6:38" ht="15" hidden="1" x14ac:dyDescent="0.25">
      <c r="F270" s="129"/>
      <c r="G270" s="129"/>
      <c r="H270" s="129"/>
      <c r="I270" s="129"/>
      <c r="J270" s="129"/>
      <c r="K270" s="129"/>
      <c r="L270" s="129"/>
      <c r="M270" s="129"/>
      <c r="N270" s="129"/>
      <c r="O270" s="129"/>
      <c r="P270" s="129"/>
      <c r="Q270" s="129"/>
      <c r="R270" s="129"/>
      <c r="S270" s="129"/>
      <c r="T270" s="129"/>
      <c r="U270" s="129"/>
      <c r="V270" s="129"/>
      <c r="W270" s="129"/>
      <c r="X270" s="129"/>
      <c r="Y270" s="129"/>
      <c r="Z270" s="129"/>
      <c r="AA270" s="129"/>
      <c r="AB270" s="129"/>
      <c r="AC270" s="129"/>
      <c r="AD270" s="129"/>
      <c r="AE270" s="129"/>
      <c r="AF270" s="129"/>
      <c r="AG270" s="129"/>
      <c r="AH270" s="129"/>
      <c r="AI270" s="129"/>
      <c r="AK270" s="140"/>
      <c r="AL270" s="129"/>
    </row>
    <row r="271" spans="6:38" ht="15" hidden="1" x14ac:dyDescent="0.25">
      <c r="F271" s="129"/>
      <c r="G271" s="129"/>
      <c r="H271" s="129"/>
      <c r="I271" s="129"/>
      <c r="J271" s="129"/>
      <c r="K271" s="129"/>
      <c r="L271" s="129"/>
      <c r="M271" s="129"/>
      <c r="N271" s="129"/>
      <c r="O271" s="129"/>
      <c r="P271" s="129"/>
      <c r="Q271" s="129"/>
      <c r="R271" s="129"/>
      <c r="S271" s="129"/>
      <c r="T271" s="129"/>
      <c r="U271" s="129"/>
      <c r="V271" s="129"/>
      <c r="W271" s="129"/>
      <c r="X271" s="129"/>
      <c r="Y271" s="129"/>
      <c r="Z271" s="129"/>
      <c r="AA271" s="129"/>
      <c r="AB271" s="129"/>
      <c r="AC271" s="129"/>
      <c r="AD271" s="129"/>
      <c r="AE271" s="129"/>
      <c r="AF271" s="129"/>
      <c r="AG271" s="129"/>
      <c r="AH271" s="129"/>
      <c r="AI271" s="129"/>
      <c r="AK271" s="140"/>
      <c r="AL271" s="129"/>
    </row>
    <row r="272" spans="6:38" ht="15" hidden="1" x14ac:dyDescent="0.25">
      <c r="F272" s="129"/>
      <c r="G272" s="129"/>
      <c r="H272" s="129"/>
      <c r="I272" s="129"/>
      <c r="J272" s="129"/>
      <c r="K272" s="129"/>
      <c r="L272" s="129"/>
      <c r="M272" s="129"/>
      <c r="N272" s="129"/>
      <c r="O272" s="129"/>
      <c r="P272" s="129"/>
      <c r="Q272" s="129"/>
      <c r="R272" s="129"/>
      <c r="S272" s="129"/>
      <c r="T272" s="129"/>
      <c r="U272" s="129"/>
      <c r="V272" s="129"/>
      <c r="W272" s="129"/>
      <c r="X272" s="129"/>
      <c r="Y272" s="129"/>
      <c r="Z272" s="129"/>
      <c r="AA272" s="129"/>
      <c r="AB272" s="129"/>
      <c r="AC272" s="129"/>
      <c r="AD272" s="129"/>
      <c r="AE272" s="129"/>
      <c r="AF272" s="129"/>
      <c r="AG272" s="129"/>
      <c r="AH272" s="129"/>
      <c r="AI272" s="129"/>
      <c r="AK272" s="140"/>
      <c r="AL272" s="129"/>
    </row>
    <row r="273" spans="6:38" ht="15" hidden="1" x14ac:dyDescent="0.25">
      <c r="F273" s="129"/>
      <c r="G273" s="129"/>
      <c r="H273" s="129"/>
      <c r="I273" s="129"/>
      <c r="J273" s="129"/>
      <c r="K273" s="129"/>
      <c r="L273" s="129"/>
      <c r="M273" s="129"/>
      <c r="N273" s="129"/>
      <c r="O273" s="129"/>
      <c r="P273" s="129"/>
      <c r="Q273" s="129"/>
      <c r="R273" s="129"/>
      <c r="S273" s="129"/>
      <c r="T273" s="129"/>
      <c r="U273" s="129"/>
      <c r="V273" s="129"/>
      <c r="W273" s="129"/>
      <c r="X273" s="129"/>
      <c r="Y273" s="129"/>
      <c r="Z273" s="129"/>
      <c r="AA273" s="129"/>
      <c r="AB273" s="129"/>
      <c r="AC273" s="129"/>
      <c r="AD273" s="129"/>
      <c r="AE273" s="129"/>
      <c r="AF273" s="129"/>
      <c r="AG273" s="129"/>
      <c r="AH273" s="129"/>
      <c r="AI273" s="129"/>
      <c r="AK273" s="140"/>
      <c r="AL273" s="129"/>
    </row>
    <row r="274" spans="6:38" ht="15" hidden="1" x14ac:dyDescent="0.25">
      <c r="F274" s="129"/>
      <c r="G274" s="129"/>
      <c r="H274" s="129"/>
      <c r="I274" s="129"/>
      <c r="J274" s="129"/>
      <c r="K274" s="129"/>
      <c r="L274" s="129"/>
      <c r="M274" s="129"/>
      <c r="N274" s="129"/>
      <c r="O274" s="129"/>
      <c r="P274" s="129"/>
      <c r="Q274" s="129"/>
      <c r="R274" s="129"/>
      <c r="S274" s="129"/>
      <c r="T274" s="129"/>
      <c r="U274" s="129"/>
      <c r="V274" s="129"/>
      <c r="W274" s="129"/>
      <c r="X274" s="129"/>
      <c r="Y274" s="129"/>
      <c r="Z274" s="129"/>
      <c r="AA274" s="129"/>
      <c r="AB274" s="129"/>
      <c r="AC274" s="129"/>
      <c r="AD274" s="129"/>
      <c r="AE274" s="129"/>
      <c r="AF274" s="129"/>
      <c r="AG274" s="129"/>
      <c r="AH274" s="129"/>
      <c r="AI274" s="129"/>
      <c r="AK274" s="140"/>
      <c r="AL274" s="129"/>
    </row>
    <row r="275" spans="6:38" ht="15" hidden="1" x14ac:dyDescent="0.25">
      <c r="F275" s="129"/>
      <c r="G275" s="129"/>
      <c r="H275" s="129"/>
      <c r="I275" s="129"/>
      <c r="J275" s="129"/>
      <c r="K275" s="129"/>
      <c r="L275" s="129"/>
      <c r="M275" s="129"/>
      <c r="N275" s="129"/>
      <c r="O275" s="129"/>
      <c r="P275" s="129"/>
      <c r="Q275" s="129"/>
      <c r="R275" s="129"/>
      <c r="S275" s="129"/>
      <c r="T275" s="129"/>
      <c r="U275" s="129"/>
      <c r="V275" s="129"/>
      <c r="W275" s="129"/>
      <c r="X275" s="129"/>
      <c r="Y275" s="129"/>
      <c r="Z275" s="129"/>
      <c r="AA275" s="129"/>
      <c r="AB275" s="129"/>
      <c r="AC275" s="129"/>
      <c r="AD275" s="129"/>
      <c r="AE275" s="129"/>
      <c r="AF275" s="129"/>
      <c r="AG275" s="129"/>
      <c r="AH275" s="129"/>
      <c r="AI275" s="129"/>
      <c r="AK275" s="140"/>
      <c r="AL275" s="129"/>
    </row>
    <row r="276" spans="6:38" ht="15" hidden="1" x14ac:dyDescent="0.25">
      <c r="F276" s="129"/>
      <c r="G276" s="129"/>
      <c r="H276" s="129"/>
      <c r="I276" s="129"/>
      <c r="J276" s="129"/>
      <c r="K276" s="129"/>
      <c r="L276" s="129"/>
      <c r="M276" s="129"/>
      <c r="N276" s="129"/>
      <c r="O276" s="129"/>
      <c r="P276" s="129"/>
      <c r="Q276" s="129"/>
      <c r="R276" s="129"/>
      <c r="S276" s="129"/>
      <c r="T276" s="129"/>
      <c r="U276" s="129"/>
      <c r="V276" s="129"/>
      <c r="W276" s="129"/>
      <c r="X276" s="129"/>
      <c r="Y276" s="129"/>
      <c r="Z276" s="129"/>
      <c r="AA276" s="129"/>
      <c r="AB276" s="129"/>
      <c r="AC276" s="129"/>
      <c r="AD276" s="129"/>
      <c r="AE276" s="129"/>
      <c r="AF276" s="129"/>
      <c r="AG276" s="129"/>
      <c r="AH276" s="129"/>
      <c r="AI276" s="129"/>
      <c r="AK276" s="140"/>
      <c r="AL276" s="129"/>
    </row>
    <row r="277" spans="6:38" ht="15" hidden="1" x14ac:dyDescent="0.25">
      <c r="F277" s="129"/>
      <c r="G277" s="129"/>
      <c r="H277" s="129"/>
      <c r="I277" s="129"/>
      <c r="J277" s="129"/>
      <c r="K277" s="129"/>
      <c r="L277" s="129"/>
      <c r="M277" s="129"/>
      <c r="N277" s="129"/>
      <c r="O277" s="129"/>
      <c r="P277" s="129"/>
      <c r="Q277" s="129"/>
      <c r="R277" s="129"/>
      <c r="S277" s="129"/>
      <c r="T277" s="129"/>
      <c r="U277" s="129"/>
      <c r="V277" s="129"/>
      <c r="W277" s="129"/>
      <c r="X277" s="129"/>
      <c r="Y277" s="129"/>
      <c r="Z277" s="129"/>
      <c r="AA277" s="129"/>
      <c r="AB277" s="129"/>
      <c r="AC277" s="129"/>
      <c r="AD277" s="129"/>
      <c r="AE277" s="129"/>
      <c r="AF277" s="129"/>
      <c r="AG277" s="129"/>
      <c r="AH277" s="129"/>
      <c r="AI277" s="129"/>
      <c r="AK277" s="140"/>
      <c r="AL277" s="129"/>
    </row>
    <row r="278" spans="6:38" ht="15" hidden="1" x14ac:dyDescent="0.25">
      <c r="F278" s="129"/>
      <c r="G278" s="129"/>
      <c r="H278" s="129"/>
      <c r="I278" s="129"/>
      <c r="J278" s="129"/>
      <c r="K278" s="129"/>
      <c r="L278" s="129"/>
      <c r="M278" s="129"/>
      <c r="N278" s="129"/>
      <c r="O278" s="129"/>
      <c r="P278" s="129"/>
      <c r="Q278" s="129"/>
      <c r="R278" s="129"/>
      <c r="S278" s="129"/>
      <c r="T278" s="129"/>
      <c r="U278" s="129"/>
      <c r="V278" s="129"/>
      <c r="W278" s="129"/>
      <c r="X278" s="129"/>
      <c r="Y278" s="129"/>
      <c r="Z278" s="129"/>
      <c r="AA278" s="129"/>
      <c r="AB278" s="129"/>
      <c r="AC278" s="129"/>
      <c r="AD278" s="129"/>
      <c r="AE278" s="129"/>
      <c r="AF278" s="129"/>
      <c r="AG278" s="129"/>
      <c r="AH278" s="129"/>
      <c r="AI278" s="129"/>
      <c r="AK278" s="140"/>
      <c r="AL278" s="129"/>
    </row>
    <row r="279" spans="6:38" ht="15" hidden="1" x14ac:dyDescent="0.25">
      <c r="F279" s="129"/>
      <c r="G279" s="129"/>
      <c r="H279" s="129"/>
      <c r="I279" s="129"/>
      <c r="J279" s="129"/>
      <c r="K279" s="129"/>
      <c r="L279" s="129"/>
      <c r="M279" s="129"/>
      <c r="N279" s="129"/>
      <c r="O279" s="129"/>
      <c r="P279" s="129"/>
      <c r="Q279" s="129"/>
      <c r="R279" s="129"/>
      <c r="S279" s="129"/>
      <c r="T279" s="129"/>
      <c r="U279" s="129"/>
      <c r="V279" s="129"/>
      <c r="W279" s="129"/>
      <c r="X279" s="129"/>
      <c r="Y279" s="129"/>
      <c r="Z279" s="129"/>
      <c r="AA279" s="129"/>
      <c r="AB279" s="129"/>
      <c r="AC279" s="129"/>
      <c r="AD279" s="129"/>
      <c r="AE279" s="129"/>
      <c r="AF279" s="129"/>
      <c r="AG279" s="129"/>
      <c r="AH279" s="129"/>
      <c r="AI279" s="129"/>
      <c r="AK279" s="140"/>
      <c r="AL279" s="129"/>
    </row>
    <row r="280" spans="6:38" ht="15" hidden="1" x14ac:dyDescent="0.25">
      <c r="F280" s="129"/>
      <c r="G280" s="129"/>
      <c r="H280" s="129"/>
      <c r="I280" s="129"/>
      <c r="J280" s="129"/>
      <c r="K280" s="129"/>
      <c r="L280" s="129"/>
      <c r="M280" s="129"/>
      <c r="N280" s="129"/>
      <c r="O280" s="129"/>
      <c r="P280" s="129"/>
      <c r="Q280" s="129"/>
      <c r="R280" s="129"/>
      <c r="S280" s="129"/>
      <c r="T280" s="129"/>
      <c r="U280" s="129"/>
      <c r="V280" s="129"/>
      <c r="W280" s="129"/>
      <c r="X280" s="129"/>
      <c r="Y280" s="129"/>
      <c r="Z280" s="129"/>
      <c r="AA280" s="129"/>
      <c r="AB280" s="129"/>
      <c r="AC280" s="129"/>
      <c r="AD280" s="129"/>
      <c r="AE280" s="129"/>
      <c r="AF280" s="129"/>
      <c r="AG280" s="129"/>
      <c r="AH280" s="129"/>
      <c r="AI280" s="129"/>
      <c r="AK280" s="140"/>
      <c r="AL280" s="129"/>
    </row>
    <row r="281" spans="6:38" ht="15" hidden="1" x14ac:dyDescent="0.25">
      <c r="F281" s="129"/>
      <c r="G281" s="129"/>
      <c r="H281" s="129"/>
      <c r="I281" s="129"/>
      <c r="J281" s="129"/>
      <c r="K281" s="129"/>
      <c r="L281" s="129"/>
      <c r="M281" s="129"/>
      <c r="N281" s="129"/>
      <c r="O281" s="129"/>
      <c r="P281" s="129"/>
      <c r="Q281" s="129"/>
      <c r="R281" s="129"/>
      <c r="S281" s="129"/>
      <c r="T281" s="129"/>
      <c r="U281" s="129"/>
      <c r="V281" s="129"/>
      <c r="W281" s="129"/>
      <c r="X281" s="129"/>
      <c r="Y281" s="129"/>
      <c r="Z281" s="129"/>
      <c r="AA281" s="129"/>
      <c r="AB281" s="129"/>
      <c r="AC281" s="129"/>
      <c r="AD281" s="129"/>
      <c r="AE281" s="129"/>
      <c r="AF281" s="129"/>
      <c r="AG281" s="129"/>
      <c r="AH281" s="129"/>
      <c r="AI281" s="129"/>
      <c r="AK281" s="140"/>
      <c r="AL281" s="129"/>
    </row>
    <row r="282" spans="6:38" ht="15" hidden="1" x14ac:dyDescent="0.25">
      <c r="F282" s="129"/>
      <c r="G282" s="129"/>
      <c r="H282" s="129"/>
      <c r="I282" s="129"/>
      <c r="J282" s="129"/>
      <c r="K282" s="129"/>
      <c r="L282" s="129"/>
      <c r="M282" s="129"/>
      <c r="N282" s="129"/>
      <c r="O282" s="129"/>
      <c r="P282" s="129"/>
      <c r="Q282" s="129"/>
      <c r="R282" s="129"/>
      <c r="S282" s="129"/>
      <c r="T282" s="129"/>
      <c r="U282" s="129"/>
      <c r="V282" s="129"/>
      <c r="W282" s="129"/>
      <c r="X282" s="129"/>
      <c r="Y282" s="129"/>
      <c r="Z282" s="129"/>
      <c r="AA282" s="129"/>
      <c r="AB282" s="129"/>
      <c r="AC282" s="129"/>
      <c r="AD282" s="129"/>
      <c r="AE282" s="129"/>
      <c r="AF282" s="129"/>
      <c r="AG282" s="129"/>
      <c r="AH282" s="129"/>
      <c r="AI282" s="129"/>
      <c r="AK282" s="140"/>
      <c r="AL282" s="129"/>
    </row>
    <row r="283" spans="6:38" ht="15" hidden="1" x14ac:dyDescent="0.25">
      <c r="F283" s="129"/>
      <c r="G283" s="129"/>
      <c r="H283" s="129"/>
      <c r="I283" s="129"/>
      <c r="J283" s="129"/>
      <c r="K283" s="129"/>
      <c r="L283" s="129"/>
      <c r="M283" s="129"/>
      <c r="N283" s="129"/>
      <c r="O283" s="129"/>
      <c r="P283" s="129"/>
      <c r="Q283" s="129"/>
      <c r="R283" s="129"/>
      <c r="S283" s="129"/>
      <c r="T283" s="129"/>
      <c r="U283" s="129"/>
      <c r="V283" s="129"/>
      <c r="W283" s="129"/>
      <c r="X283" s="129"/>
      <c r="Y283" s="129"/>
      <c r="Z283" s="129"/>
      <c r="AA283" s="129"/>
      <c r="AB283" s="129"/>
      <c r="AC283" s="129"/>
      <c r="AD283" s="129"/>
      <c r="AE283" s="129"/>
      <c r="AF283" s="129"/>
      <c r="AG283" s="129"/>
      <c r="AH283" s="129"/>
      <c r="AI283" s="129"/>
      <c r="AK283" s="140"/>
      <c r="AL283" s="129"/>
    </row>
    <row r="284" spans="6:38" ht="15" hidden="1" x14ac:dyDescent="0.25">
      <c r="F284" s="129"/>
      <c r="G284" s="129"/>
      <c r="H284" s="129"/>
      <c r="I284" s="129"/>
      <c r="J284" s="129"/>
      <c r="K284" s="129"/>
      <c r="L284" s="129"/>
      <c r="M284" s="129"/>
      <c r="N284" s="129"/>
      <c r="O284" s="129"/>
      <c r="P284" s="129"/>
      <c r="Q284" s="129"/>
      <c r="R284" s="129"/>
      <c r="S284" s="129"/>
      <c r="T284" s="129"/>
      <c r="U284" s="129"/>
      <c r="V284" s="129"/>
      <c r="W284" s="129"/>
      <c r="X284" s="129"/>
      <c r="Y284" s="129"/>
      <c r="Z284" s="129"/>
      <c r="AA284" s="129"/>
      <c r="AB284" s="129"/>
      <c r="AC284" s="129"/>
      <c r="AD284" s="129"/>
      <c r="AE284" s="129"/>
      <c r="AF284" s="129"/>
      <c r="AG284" s="129"/>
      <c r="AH284" s="129"/>
      <c r="AI284" s="129"/>
      <c r="AK284" s="140"/>
      <c r="AL284" s="129"/>
    </row>
    <row r="285" spans="6:38" ht="15" hidden="1" x14ac:dyDescent="0.25">
      <c r="F285" s="129"/>
      <c r="G285" s="129"/>
      <c r="H285" s="129"/>
      <c r="I285" s="129"/>
      <c r="J285" s="129"/>
      <c r="K285" s="129"/>
      <c r="L285" s="129"/>
      <c r="M285" s="129"/>
      <c r="N285" s="129"/>
      <c r="O285" s="129"/>
      <c r="P285" s="129"/>
      <c r="Q285" s="129"/>
      <c r="R285" s="129"/>
      <c r="S285" s="129"/>
      <c r="T285" s="129"/>
      <c r="U285" s="129"/>
      <c r="V285" s="129"/>
      <c r="W285" s="129"/>
      <c r="X285" s="129"/>
      <c r="Y285" s="129"/>
      <c r="Z285" s="129"/>
      <c r="AA285" s="129"/>
      <c r="AB285" s="129"/>
      <c r="AC285" s="129"/>
      <c r="AD285" s="129"/>
      <c r="AE285" s="129"/>
      <c r="AF285" s="129"/>
      <c r="AG285" s="129"/>
      <c r="AH285" s="129"/>
      <c r="AI285" s="129"/>
      <c r="AK285" s="140"/>
      <c r="AL285" s="129"/>
    </row>
    <row r="286" spans="6:38" ht="15" hidden="1" x14ac:dyDescent="0.25">
      <c r="F286" s="129"/>
      <c r="G286" s="129"/>
      <c r="H286" s="129"/>
      <c r="I286" s="129"/>
      <c r="J286" s="129"/>
      <c r="K286" s="129"/>
      <c r="L286" s="129"/>
      <c r="M286" s="129"/>
      <c r="N286" s="129"/>
      <c r="O286" s="129"/>
      <c r="P286" s="129"/>
      <c r="Q286" s="129"/>
      <c r="R286" s="129"/>
      <c r="S286" s="129"/>
      <c r="T286" s="129"/>
      <c r="U286" s="129"/>
      <c r="V286" s="129"/>
      <c r="W286" s="129"/>
      <c r="X286" s="129"/>
      <c r="Y286" s="129"/>
      <c r="Z286" s="129"/>
      <c r="AA286" s="129"/>
      <c r="AB286" s="129"/>
      <c r="AC286" s="129"/>
      <c r="AD286" s="129"/>
      <c r="AE286" s="129"/>
      <c r="AF286" s="129"/>
      <c r="AG286" s="129"/>
      <c r="AH286" s="129"/>
      <c r="AI286" s="129"/>
      <c r="AK286" s="140"/>
      <c r="AL286" s="129"/>
    </row>
    <row r="287" spans="6:38" ht="15" hidden="1" x14ac:dyDescent="0.25">
      <c r="F287" s="129"/>
      <c r="G287" s="129"/>
      <c r="H287" s="129"/>
      <c r="I287" s="129"/>
      <c r="J287" s="129"/>
      <c r="K287" s="129"/>
      <c r="L287" s="129"/>
      <c r="M287" s="129"/>
      <c r="N287" s="129"/>
      <c r="O287" s="129"/>
      <c r="P287" s="129"/>
      <c r="Q287" s="129"/>
      <c r="R287" s="129"/>
      <c r="S287" s="129"/>
      <c r="T287" s="129"/>
      <c r="U287" s="129"/>
      <c r="V287" s="129"/>
      <c r="W287" s="129"/>
      <c r="X287" s="129"/>
      <c r="Y287" s="129"/>
      <c r="Z287" s="129"/>
      <c r="AA287" s="129"/>
      <c r="AB287" s="129"/>
      <c r="AC287" s="129"/>
      <c r="AD287" s="129"/>
      <c r="AE287" s="129"/>
      <c r="AF287" s="129"/>
      <c r="AG287" s="129"/>
      <c r="AH287" s="129"/>
      <c r="AI287" s="129"/>
      <c r="AK287" s="140"/>
      <c r="AL287" s="129"/>
    </row>
    <row r="288" spans="6:38" ht="15" hidden="1" x14ac:dyDescent="0.25">
      <c r="F288" s="129"/>
      <c r="G288" s="129"/>
      <c r="H288" s="129"/>
      <c r="I288" s="129"/>
      <c r="J288" s="129"/>
      <c r="K288" s="129"/>
      <c r="L288" s="129"/>
      <c r="M288" s="129"/>
      <c r="N288" s="129"/>
      <c r="O288" s="129"/>
      <c r="P288" s="129"/>
      <c r="Q288" s="129"/>
      <c r="R288" s="129"/>
      <c r="S288" s="129"/>
      <c r="T288" s="129"/>
      <c r="U288" s="129"/>
      <c r="V288" s="129"/>
      <c r="W288" s="129"/>
      <c r="X288" s="129"/>
      <c r="Y288" s="129"/>
      <c r="Z288" s="129"/>
      <c r="AA288" s="129"/>
      <c r="AB288" s="129"/>
      <c r="AC288" s="129"/>
      <c r="AD288" s="129"/>
      <c r="AE288" s="129"/>
      <c r="AF288" s="129"/>
      <c r="AG288" s="129"/>
      <c r="AH288" s="129"/>
      <c r="AI288" s="129"/>
      <c r="AK288" s="140"/>
      <c r="AL288" s="129"/>
    </row>
    <row r="289" spans="6:38" ht="15" hidden="1" x14ac:dyDescent="0.25">
      <c r="F289" s="129"/>
      <c r="G289" s="129"/>
      <c r="H289" s="129"/>
      <c r="I289" s="129"/>
      <c r="J289" s="129"/>
      <c r="K289" s="129"/>
      <c r="L289" s="129"/>
      <c r="M289" s="129"/>
      <c r="N289" s="129"/>
      <c r="O289" s="129"/>
      <c r="P289" s="129"/>
      <c r="Q289" s="129"/>
      <c r="R289" s="129"/>
      <c r="S289" s="129"/>
      <c r="T289" s="129"/>
      <c r="U289" s="129"/>
      <c r="V289" s="129"/>
      <c r="W289" s="129"/>
      <c r="X289" s="129"/>
      <c r="Y289" s="129"/>
      <c r="Z289" s="129"/>
      <c r="AA289" s="129"/>
      <c r="AB289" s="129"/>
      <c r="AC289" s="129"/>
      <c r="AD289" s="129"/>
      <c r="AE289" s="129"/>
      <c r="AF289" s="129"/>
      <c r="AG289" s="129"/>
      <c r="AH289" s="129"/>
      <c r="AI289" s="129"/>
      <c r="AK289" s="140"/>
      <c r="AL289" s="129"/>
    </row>
    <row r="290" spans="6:38" ht="15" hidden="1" x14ac:dyDescent="0.25">
      <c r="F290" s="129"/>
      <c r="G290" s="129"/>
      <c r="H290" s="129"/>
      <c r="I290" s="129"/>
      <c r="J290" s="129"/>
      <c r="K290" s="129"/>
      <c r="L290" s="129"/>
      <c r="M290" s="129"/>
      <c r="N290" s="129"/>
      <c r="O290" s="129"/>
      <c r="P290" s="129"/>
      <c r="Q290" s="129"/>
      <c r="R290" s="129"/>
      <c r="S290" s="129"/>
      <c r="T290" s="129"/>
      <c r="U290" s="129"/>
      <c r="V290" s="129"/>
      <c r="W290" s="129"/>
      <c r="X290" s="129"/>
      <c r="Y290" s="129"/>
      <c r="Z290" s="129"/>
      <c r="AA290" s="129"/>
      <c r="AB290" s="129"/>
      <c r="AC290" s="129"/>
      <c r="AD290" s="129"/>
      <c r="AE290" s="129"/>
      <c r="AF290" s="129"/>
      <c r="AG290" s="129"/>
      <c r="AH290" s="129"/>
      <c r="AI290" s="129"/>
      <c r="AK290" s="140"/>
      <c r="AL290" s="129"/>
    </row>
    <row r="291" spans="6:38" ht="15" hidden="1" x14ac:dyDescent="0.25">
      <c r="F291" s="129"/>
      <c r="G291" s="129"/>
      <c r="H291" s="129"/>
      <c r="I291" s="129"/>
      <c r="J291" s="129"/>
      <c r="K291" s="129"/>
      <c r="L291" s="129"/>
      <c r="M291" s="129"/>
      <c r="N291" s="129"/>
      <c r="O291" s="129"/>
      <c r="P291" s="129"/>
      <c r="Q291" s="129"/>
      <c r="R291" s="129"/>
      <c r="S291" s="129"/>
      <c r="T291" s="129"/>
      <c r="U291" s="129"/>
      <c r="V291" s="129"/>
      <c r="W291" s="129"/>
      <c r="X291" s="129"/>
      <c r="Y291" s="129"/>
      <c r="Z291" s="129"/>
      <c r="AA291" s="129"/>
      <c r="AB291" s="129"/>
      <c r="AC291" s="129"/>
      <c r="AD291" s="129"/>
      <c r="AE291" s="129"/>
      <c r="AF291" s="129"/>
      <c r="AG291" s="129"/>
      <c r="AH291" s="129"/>
      <c r="AI291" s="129"/>
      <c r="AK291" s="140"/>
      <c r="AL291" s="129"/>
    </row>
    <row r="292" spans="6:38" ht="15" hidden="1" x14ac:dyDescent="0.25">
      <c r="F292" s="129"/>
      <c r="G292" s="129"/>
      <c r="H292" s="129"/>
      <c r="I292" s="129"/>
      <c r="J292" s="129"/>
      <c r="K292" s="129"/>
      <c r="L292" s="129"/>
      <c r="M292" s="129"/>
      <c r="N292" s="129"/>
      <c r="O292" s="129"/>
      <c r="P292" s="129"/>
      <c r="Q292" s="129"/>
      <c r="R292" s="129"/>
      <c r="S292" s="129"/>
      <c r="T292" s="129"/>
      <c r="U292" s="129"/>
      <c r="V292" s="129"/>
      <c r="W292" s="129"/>
      <c r="X292" s="129"/>
      <c r="Y292" s="129"/>
      <c r="Z292" s="129"/>
      <c r="AA292" s="129"/>
      <c r="AB292" s="129"/>
      <c r="AC292" s="129"/>
      <c r="AD292" s="129"/>
      <c r="AE292" s="129"/>
      <c r="AF292" s="129"/>
      <c r="AG292" s="129"/>
      <c r="AH292" s="129"/>
      <c r="AI292" s="129"/>
      <c r="AK292" s="140"/>
      <c r="AL292" s="129"/>
    </row>
    <row r="293" spans="6:38" ht="15" hidden="1" x14ac:dyDescent="0.25">
      <c r="F293" s="129"/>
      <c r="G293" s="129"/>
      <c r="H293" s="129"/>
      <c r="I293" s="129"/>
      <c r="J293" s="129"/>
      <c r="K293" s="129"/>
      <c r="L293" s="129"/>
      <c r="M293" s="129"/>
      <c r="N293" s="129"/>
      <c r="O293" s="129"/>
      <c r="P293" s="129"/>
      <c r="Q293" s="129"/>
      <c r="R293" s="129"/>
      <c r="S293" s="129"/>
      <c r="T293" s="129"/>
      <c r="U293" s="129"/>
      <c r="V293" s="129"/>
      <c r="W293" s="129"/>
      <c r="X293" s="129"/>
      <c r="Y293" s="129"/>
      <c r="Z293" s="129"/>
      <c r="AA293" s="129"/>
      <c r="AB293" s="129"/>
      <c r="AC293" s="129"/>
      <c r="AD293" s="129"/>
      <c r="AE293" s="129"/>
      <c r="AF293" s="129"/>
      <c r="AG293" s="129"/>
      <c r="AH293" s="129"/>
      <c r="AI293" s="129"/>
      <c r="AK293" s="140"/>
      <c r="AL293" s="129"/>
    </row>
    <row r="294" spans="6:38" ht="15" hidden="1" x14ac:dyDescent="0.25">
      <c r="F294" s="129"/>
      <c r="G294" s="129"/>
      <c r="H294" s="129"/>
      <c r="I294" s="129"/>
      <c r="J294" s="129"/>
      <c r="K294" s="129"/>
      <c r="L294" s="129"/>
      <c r="M294" s="129"/>
      <c r="N294" s="129"/>
      <c r="O294" s="129"/>
      <c r="P294" s="129"/>
      <c r="Q294" s="129"/>
      <c r="R294" s="129"/>
      <c r="S294" s="129"/>
      <c r="T294" s="129"/>
      <c r="U294" s="129"/>
      <c r="V294" s="129"/>
      <c r="W294" s="129"/>
      <c r="X294" s="129"/>
      <c r="Y294" s="129"/>
      <c r="Z294" s="129"/>
      <c r="AA294" s="129"/>
      <c r="AB294" s="129"/>
      <c r="AC294" s="129"/>
      <c r="AD294" s="129"/>
      <c r="AE294" s="129"/>
      <c r="AF294" s="129"/>
      <c r="AG294" s="129"/>
      <c r="AH294" s="129"/>
      <c r="AI294" s="129"/>
      <c r="AK294" s="140"/>
      <c r="AL294" s="129"/>
    </row>
    <row r="295" spans="6:38" ht="15" hidden="1" x14ac:dyDescent="0.25">
      <c r="F295" s="129"/>
      <c r="G295" s="129"/>
      <c r="H295" s="129"/>
      <c r="I295" s="129"/>
      <c r="J295" s="129"/>
      <c r="K295" s="129"/>
      <c r="L295" s="129"/>
      <c r="M295" s="129"/>
      <c r="N295" s="129"/>
      <c r="O295" s="129"/>
      <c r="P295" s="129"/>
      <c r="Q295" s="129"/>
      <c r="R295" s="129"/>
      <c r="S295" s="129"/>
      <c r="T295" s="129"/>
      <c r="U295" s="129"/>
      <c r="V295" s="129"/>
      <c r="W295" s="129"/>
      <c r="X295" s="129"/>
      <c r="Y295" s="129"/>
      <c r="Z295" s="129"/>
      <c r="AA295" s="129"/>
      <c r="AB295" s="129"/>
      <c r="AC295" s="129"/>
      <c r="AD295" s="129"/>
      <c r="AE295" s="129"/>
      <c r="AF295" s="129"/>
      <c r="AG295" s="129"/>
      <c r="AH295" s="129"/>
      <c r="AI295" s="129"/>
      <c r="AK295" s="140"/>
      <c r="AL295" s="129"/>
    </row>
    <row r="296" spans="6:38" ht="15" hidden="1" x14ac:dyDescent="0.25">
      <c r="F296" s="129"/>
      <c r="G296" s="129"/>
      <c r="H296" s="129"/>
      <c r="I296" s="129"/>
      <c r="J296" s="129"/>
      <c r="K296" s="129"/>
      <c r="L296" s="129"/>
      <c r="M296" s="129"/>
      <c r="N296" s="129"/>
      <c r="O296" s="129"/>
      <c r="P296" s="129"/>
      <c r="Q296" s="129"/>
      <c r="R296" s="129"/>
      <c r="S296" s="129"/>
      <c r="T296" s="129"/>
      <c r="U296" s="129"/>
      <c r="V296" s="129"/>
      <c r="W296" s="129"/>
      <c r="X296" s="129"/>
      <c r="Y296" s="129"/>
      <c r="Z296" s="129"/>
      <c r="AA296" s="129"/>
      <c r="AB296" s="129"/>
      <c r="AC296" s="129"/>
      <c r="AD296" s="129"/>
      <c r="AE296" s="129"/>
      <c r="AF296" s="129"/>
      <c r="AG296" s="129"/>
      <c r="AH296" s="129"/>
      <c r="AI296" s="129"/>
      <c r="AK296" s="140"/>
      <c r="AL296" s="129"/>
    </row>
    <row r="297" spans="6:38" ht="15" hidden="1" x14ac:dyDescent="0.25">
      <c r="F297" s="129"/>
      <c r="G297" s="129"/>
      <c r="H297" s="129"/>
      <c r="I297" s="129"/>
      <c r="J297" s="129"/>
      <c r="K297" s="129"/>
      <c r="L297" s="129"/>
      <c r="M297" s="129"/>
      <c r="N297" s="129"/>
      <c r="O297" s="129"/>
      <c r="P297" s="129"/>
      <c r="Q297" s="129"/>
      <c r="R297" s="129"/>
      <c r="S297" s="129"/>
      <c r="T297" s="129"/>
      <c r="U297" s="129"/>
      <c r="V297" s="129"/>
      <c r="W297" s="129"/>
      <c r="X297" s="129"/>
      <c r="Y297" s="129"/>
      <c r="Z297" s="129"/>
      <c r="AA297" s="129"/>
      <c r="AB297" s="129"/>
      <c r="AC297" s="129"/>
      <c r="AD297" s="129"/>
      <c r="AE297" s="129"/>
      <c r="AF297" s="129"/>
      <c r="AG297" s="129"/>
      <c r="AH297" s="129"/>
      <c r="AI297" s="129"/>
      <c r="AK297" s="140"/>
      <c r="AL297" s="129"/>
    </row>
    <row r="298" spans="6:38" ht="15" hidden="1" x14ac:dyDescent="0.25">
      <c r="F298" s="129"/>
      <c r="G298" s="129"/>
      <c r="H298" s="129"/>
      <c r="I298" s="129"/>
      <c r="J298" s="129"/>
      <c r="K298" s="129"/>
      <c r="L298" s="129"/>
      <c r="M298" s="129"/>
      <c r="N298" s="129"/>
      <c r="O298" s="129"/>
      <c r="P298" s="129"/>
      <c r="Q298" s="129"/>
      <c r="R298" s="129"/>
      <c r="S298" s="129"/>
      <c r="T298" s="129"/>
      <c r="U298" s="129"/>
      <c r="V298" s="129"/>
      <c r="W298" s="129"/>
      <c r="X298" s="129"/>
      <c r="Y298" s="129"/>
      <c r="Z298" s="129"/>
      <c r="AA298" s="129"/>
      <c r="AB298" s="129"/>
      <c r="AC298" s="129"/>
      <c r="AD298" s="129"/>
      <c r="AE298" s="129"/>
      <c r="AF298" s="129"/>
      <c r="AG298" s="129"/>
      <c r="AH298" s="129"/>
      <c r="AI298" s="129"/>
      <c r="AK298" s="140"/>
      <c r="AL298" s="129"/>
    </row>
    <row r="299" spans="6:38" ht="15" hidden="1" x14ac:dyDescent="0.25">
      <c r="F299" s="129"/>
      <c r="G299" s="129"/>
      <c r="H299" s="129"/>
      <c r="I299" s="129"/>
      <c r="J299" s="129"/>
      <c r="K299" s="129"/>
      <c r="L299" s="129"/>
      <c r="M299" s="129"/>
      <c r="N299" s="129"/>
      <c r="O299" s="129"/>
      <c r="P299" s="129"/>
      <c r="Q299" s="129"/>
      <c r="R299" s="129"/>
      <c r="S299" s="129"/>
      <c r="T299" s="129"/>
      <c r="U299" s="129"/>
      <c r="V299" s="129"/>
      <c r="W299" s="129"/>
      <c r="X299" s="129"/>
      <c r="Y299" s="129"/>
      <c r="Z299" s="129"/>
      <c r="AA299" s="129"/>
      <c r="AB299" s="129"/>
      <c r="AC299" s="129"/>
      <c r="AD299" s="129"/>
      <c r="AE299" s="129"/>
      <c r="AF299" s="129"/>
      <c r="AG299" s="129"/>
      <c r="AH299" s="129"/>
      <c r="AI299" s="129"/>
      <c r="AK299" s="140"/>
      <c r="AL299" s="129"/>
    </row>
    <row r="300" spans="6:38" ht="15" hidden="1" x14ac:dyDescent="0.25">
      <c r="F300" s="129"/>
      <c r="G300" s="129"/>
      <c r="H300" s="129"/>
      <c r="I300" s="129"/>
      <c r="J300" s="129"/>
      <c r="K300" s="129"/>
      <c r="L300" s="129"/>
      <c r="M300" s="129"/>
      <c r="N300" s="129"/>
      <c r="O300" s="129"/>
      <c r="P300" s="129"/>
      <c r="Q300" s="129"/>
      <c r="R300" s="129"/>
      <c r="S300" s="129"/>
      <c r="T300" s="129"/>
      <c r="U300" s="129"/>
      <c r="V300" s="129"/>
      <c r="W300" s="129"/>
      <c r="X300" s="129"/>
      <c r="Y300" s="129"/>
      <c r="Z300" s="129"/>
      <c r="AA300" s="129"/>
      <c r="AB300" s="129"/>
      <c r="AC300" s="129"/>
      <c r="AD300" s="129"/>
      <c r="AE300" s="129"/>
      <c r="AF300" s="129"/>
      <c r="AG300" s="129"/>
      <c r="AH300" s="129"/>
      <c r="AI300" s="129"/>
      <c r="AK300" s="140"/>
      <c r="AL300" s="129"/>
    </row>
    <row r="301" spans="6:38" ht="15" hidden="1" x14ac:dyDescent="0.25">
      <c r="F301" s="129"/>
      <c r="G301" s="129"/>
      <c r="H301" s="129"/>
      <c r="I301" s="129"/>
      <c r="J301" s="129"/>
      <c r="K301" s="129"/>
      <c r="L301" s="129"/>
      <c r="M301" s="129"/>
      <c r="N301" s="129"/>
      <c r="O301" s="129"/>
      <c r="P301" s="129"/>
      <c r="Q301" s="129"/>
      <c r="R301" s="129"/>
      <c r="S301" s="129"/>
      <c r="T301" s="129"/>
      <c r="U301" s="129"/>
      <c r="V301" s="129"/>
      <c r="W301" s="129"/>
      <c r="X301" s="129"/>
      <c r="Y301" s="129"/>
      <c r="Z301" s="129"/>
      <c r="AA301" s="129"/>
      <c r="AB301" s="129"/>
      <c r="AC301" s="129"/>
      <c r="AD301" s="129"/>
      <c r="AE301" s="129"/>
      <c r="AF301" s="129"/>
      <c r="AG301" s="129"/>
      <c r="AH301" s="129"/>
      <c r="AI301" s="129"/>
      <c r="AK301" s="140"/>
      <c r="AL301" s="129"/>
    </row>
    <row r="302" spans="6:38" ht="15" hidden="1" x14ac:dyDescent="0.25">
      <c r="F302" s="129"/>
      <c r="G302" s="129"/>
      <c r="H302" s="129"/>
      <c r="I302" s="129"/>
      <c r="J302" s="129"/>
      <c r="K302" s="129"/>
      <c r="L302" s="129"/>
      <c r="M302" s="129"/>
      <c r="N302" s="129"/>
      <c r="O302" s="129"/>
      <c r="P302" s="129"/>
      <c r="Q302" s="129"/>
      <c r="R302" s="129"/>
      <c r="S302" s="129"/>
      <c r="T302" s="129"/>
      <c r="U302" s="129"/>
      <c r="V302" s="129"/>
      <c r="W302" s="129"/>
      <c r="X302" s="129"/>
      <c r="Y302" s="129"/>
      <c r="Z302" s="129"/>
      <c r="AA302" s="129"/>
      <c r="AB302" s="129"/>
      <c r="AC302" s="129"/>
      <c r="AD302" s="129"/>
      <c r="AE302" s="129"/>
      <c r="AF302" s="129"/>
      <c r="AG302" s="129"/>
      <c r="AH302" s="129"/>
      <c r="AI302" s="129"/>
      <c r="AK302" s="140"/>
      <c r="AL302" s="129"/>
    </row>
    <row r="303" spans="6:38" ht="15" hidden="1" x14ac:dyDescent="0.25">
      <c r="F303" s="129"/>
      <c r="G303" s="129"/>
      <c r="H303" s="129"/>
      <c r="I303" s="129"/>
      <c r="J303" s="129"/>
      <c r="K303" s="129"/>
      <c r="L303" s="129"/>
      <c r="M303" s="129"/>
      <c r="N303" s="129"/>
      <c r="O303" s="129"/>
      <c r="P303" s="129"/>
      <c r="Q303" s="129"/>
      <c r="R303" s="129"/>
      <c r="S303" s="129"/>
      <c r="T303" s="129"/>
      <c r="U303" s="129"/>
      <c r="V303" s="129"/>
      <c r="W303" s="129"/>
      <c r="X303" s="129"/>
      <c r="Y303" s="129"/>
      <c r="Z303" s="129"/>
      <c r="AA303" s="129"/>
      <c r="AB303" s="129"/>
      <c r="AC303" s="129"/>
      <c r="AD303" s="129"/>
      <c r="AE303" s="129"/>
      <c r="AF303" s="129"/>
      <c r="AG303" s="129"/>
      <c r="AH303" s="129"/>
      <c r="AI303" s="129"/>
      <c r="AK303" s="140"/>
      <c r="AL303" s="129"/>
    </row>
    <row r="304" spans="6:38" ht="15" hidden="1" x14ac:dyDescent="0.25">
      <c r="F304" s="129"/>
      <c r="G304" s="129"/>
      <c r="H304" s="129"/>
      <c r="I304" s="129"/>
      <c r="J304" s="129"/>
      <c r="K304" s="129"/>
      <c r="L304" s="129"/>
      <c r="M304" s="129"/>
      <c r="N304" s="129"/>
      <c r="O304" s="129"/>
      <c r="P304" s="129"/>
      <c r="Q304" s="129"/>
      <c r="R304" s="129"/>
      <c r="S304" s="129"/>
      <c r="T304" s="129"/>
      <c r="U304" s="129"/>
      <c r="V304" s="129"/>
      <c r="W304" s="129"/>
      <c r="X304" s="129"/>
      <c r="Y304" s="129"/>
      <c r="Z304" s="129"/>
      <c r="AA304" s="129"/>
      <c r="AB304" s="129"/>
      <c r="AC304" s="129"/>
      <c r="AD304" s="129"/>
      <c r="AE304" s="129"/>
      <c r="AF304" s="129"/>
      <c r="AG304" s="129"/>
      <c r="AH304" s="129"/>
      <c r="AI304" s="129"/>
      <c r="AK304" s="140"/>
      <c r="AL304" s="129"/>
    </row>
    <row r="305" spans="6:38" ht="15" hidden="1" x14ac:dyDescent="0.25">
      <c r="F305" s="129"/>
      <c r="G305" s="129"/>
      <c r="H305" s="129"/>
      <c r="I305" s="129"/>
      <c r="J305" s="129"/>
      <c r="K305" s="129"/>
      <c r="L305" s="129"/>
      <c r="M305" s="129"/>
      <c r="N305" s="129"/>
      <c r="O305" s="129"/>
      <c r="P305" s="129"/>
      <c r="Q305" s="129"/>
      <c r="R305" s="129"/>
      <c r="S305" s="129"/>
      <c r="T305" s="129"/>
      <c r="U305" s="129"/>
      <c r="V305" s="129"/>
      <c r="W305" s="129"/>
      <c r="X305" s="129"/>
      <c r="Y305" s="129"/>
      <c r="Z305" s="129"/>
      <c r="AA305" s="129"/>
      <c r="AB305" s="129"/>
      <c r="AC305" s="129"/>
      <c r="AD305" s="129"/>
      <c r="AE305" s="129"/>
      <c r="AF305" s="129"/>
      <c r="AG305" s="129"/>
      <c r="AH305" s="129"/>
      <c r="AI305" s="129"/>
      <c r="AK305" s="140"/>
      <c r="AL305" s="129"/>
    </row>
    <row r="306" spans="6:38" ht="15" hidden="1" x14ac:dyDescent="0.25">
      <c r="F306" s="129"/>
      <c r="G306" s="129"/>
      <c r="H306" s="129"/>
      <c r="I306" s="129"/>
      <c r="J306" s="129"/>
      <c r="K306" s="129"/>
      <c r="L306" s="129"/>
      <c r="M306" s="129"/>
      <c r="N306" s="129"/>
      <c r="O306" s="129"/>
      <c r="P306" s="129"/>
      <c r="Q306" s="129"/>
      <c r="R306" s="129"/>
      <c r="S306" s="129"/>
      <c r="T306" s="129"/>
      <c r="U306" s="129"/>
      <c r="V306" s="129"/>
      <c r="W306" s="129"/>
      <c r="X306" s="129"/>
      <c r="Y306" s="129"/>
      <c r="Z306" s="129"/>
      <c r="AA306" s="129"/>
      <c r="AB306" s="129"/>
      <c r="AC306" s="129"/>
      <c r="AD306" s="129"/>
      <c r="AE306" s="129"/>
      <c r="AF306" s="129"/>
      <c r="AG306" s="129"/>
      <c r="AH306" s="129"/>
      <c r="AI306" s="129"/>
      <c r="AK306" s="140"/>
      <c r="AL306" s="129"/>
    </row>
    <row r="307" spans="6:38" ht="15" hidden="1" x14ac:dyDescent="0.25">
      <c r="F307" s="129"/>
      <c r="G307" s="129"/>
      <c r="H307" s="129"/>
      <c r="I307" s="129"/>
      <c r="J307" s="129"/>
      <c r="K307" s="129"/>
      <c r="L307" s="129"/>
      <c r="M307" s="129"/>
      <c r="N307" s="129"/>
      <c r="O307" s="129"/>
      <c r="P307" s="129"/>
      <c r="Q307" s="129"/>
      <c r="R307" s="129"/>
      <c r="S307" s="129"/>
      <c r="T307" s="129"/>
      <c r="U307" s="129"/>
      <c r="V307" s="129"/>
      <c r="W307" s="129"/>
      <c r="X307" s="129"/>
      <c r="Y307" s="129"/>
      <c r="Z307" s="129"/>
      <c r="AA307" s="129"/>
      <c r="AB307" s="129"/>
      <c r="AC307" s="129"/>
      <c r="AD307" s="129"/>
      <c r="AE307" s="129"/>
      <c r="AF307" s="129"/>
      <c r="AG307" s="129"/>
      <c r="AH307" s="129"/>
      <c r="AI307" s="129"/>
      <c r="AK307" s="140"/>
      <c r="AL307" s="129"/>
    </row>
    <row r="308" spans="6:38" ht="15" hidden="1" x14ac:dyDescent="0.25">
      <c r="F308" s="129"/>
      <c r="G308" s="129"/>
      <c r="H308" s="129"/>
      <c r="I308" s="129"/>
      <c r="J308" s="129"/>
      <c r="K308" s="129"/>
      <c r="L308" s="129"/>
      <c r="M308" s="129"/>
      <c r="N308" s="129"/>
      <c r="O308" s="129"/>
      <c r="P308" s="129"/>
      <c r="Q308" s="129"/>
      <c r="R308" s="129"/>
      <c r="S308" s="129"/>
      <c r="T308" s="129"/>
      <c r="U308" s="129"/>
      <c r="V308" s="129"/>
      <c r="W308" s="129"/>
      <c r="X308" s="129"/>
      <c r="Y308" s="129"/>
      <c r="Z308" s="129"/>
      <c r="AA308" s="129"/>
      <c r="AB308" s="129"/>
      <c r="AC308" s="129"/>
      <c r="AD308" s="129"/>
      <c r="AE308" s="129"/>
      <c r="AF308" s="129"/>
      <c r="AG308" s="129"/>
      <c r="AH308" s="129"/>
      <c r="AI308" s="129"/>
      <c r="AK308" s="140"/>
      <c r="AL308" s="129"/>
    </row>
    <row r="309" spans="6:38" ht="15" hidden="1" x14ac:dyDescent="0.25">
      <c r="F309" s="129"/>
      <c r="G309" s="129"/>
      <c r="H309" s="129"/>
      <c r="I309" s="129"/>
      <c r="J309" s="129"/>
      <c r="K309" s="129"/>
      <c r="L309" s="129"/>
      <c r="M309" s="129"/>
      <c r="N309" s="129"/>
      <c r="O309" s="129"/>
      <c r="P309" s="129"/>
      <c r="Q309" s="129"/>
      <c r="R309" s="129"/>
      <c r="S309" s="129"/>
      <c r="T309" s="129"/>
      <c r="U309" s="129"/>
      <c r="V309" s="129"/>
      <c r="W309" s="129"/>
      <c r="X309" s="129"/>
      <c r="Y309" s="129"/>
      <c r="Z309" s="129"/>
      <c r="AA309" s="129"/>
      <c r="AB309" s="129"/>
      <c r="AC309" s="129"/>
      <c r="AD309" s="129"/>
      <c r="AE309" s="129"/>
      <c r="AF309" s="129"/>
      <c r="AG309" s="129"/>
      <c r="AH309" s="129"/>
      <c r="AI309" s="129"/>
      <c r="AK309" s="140"/>
      <c r="AL309" s="129"/>
    </row>
    <row r="310" spans="6:38" ht="15" hidden="1" x14ac:dyDescent="0.25">
      <c r="F310" s="129"/>
      <c r="G310" s="129"/>
      <c r="H310" s="129"/>
      <c r="I310" s="129"/>
      <c r="J310" s="129"/>
      <c r="K310" s="129"/>
      <c r="L310" s="129"/>
      <c r="M310" s="129"/>
      <c r="N310" s="129"/>
      <c r="O310" s="129"/>
      <c r="P310" s="129"/>
      <c r="Q310" s="129"/>
      <c r="R310" s="129"/>
      <c r="S310" s="129"/>
      <c r="T310" s="129"/>
      <c r="U310" s="129"/>
      <c r="V310" s="129"/>
      <c r="W310" s="129"/>
      <c r="X310" s="129"/>
      <c r="Y310" s="129"/>
      <c r="Z310" s="129"/>
      <c r="AA310" s="129"/>
      <c r="AB310" s="129"/>
      <c r="AC310" s="129"/>
      <c r="AD310" s="129"/>
      <c r="AE310" s="129"/>
      <c r="AF310" s="129"/>
      <c r="AG310" s="129"/>
      <c r="AH310" s="129"/>
      <c r="AI310" s="129"/>
      <c r="AK310" s="140"/>
      <c r="AL310" s="129"/>
    </row>
    <row r="311" spans="6:38" ht="15" hidden="1" x14ac:dyDescent="0.25">
      <c r="F311" s="129"/>
      <c r="G311" s="129"/>
      <c r="H311" s="129"/>
      <c r="I311" s="129"/>
      <c r="J311" s="129"/>
      <c r="K311" s="129"/>
      <c r="L311" s="129"/>
      <c r="M311" s="129"/>
      <c r="N311" s="129"/>
      <c r="O311" s="129"/>
      <c r="P311" s="129"/>
      <c r="Q311" s="129"/>
      <c r="R311" s="129"/>
      <c r="S311" s="129"/>
      <c r="T311" s="129"/>
      <c r="U311" s="129"/>
      <c r="V311" s="129"/>
      <c r="W311" s="129"/>
      <c r="X311" s="129"/>
      <c r="Y311" s="129"/>
      <c r="Z311" s="129"/>
      <c r="AA311" s="129"/>
      <c r="AB311" s="129"/>
      <c r="AC311" s="129"/>
      <c r="AD311" s="129"/>
      <c r="AE311" s="129"/>
      <c r="AF311" s="129"/>
      <c r="AG311" s="129"/>
      <c r="AH311" s="129"/>
      <c r="AI311" s="129"/>
      <c r="AK311" s="140"/>
      <c r="AL311" s="129"/>
    </row>
    <row r="312" spans="6:38" ht="15" hidden="1" x14ac:dyDescent="0.25">
      <c r="F312" s="129"/>
      <c r="G312" s="129"/>
      <c r="H312" s="129"/>
      <c r="I312" s="129"/>
      <c r="J312" s="129"/>
      <c r="K312" s="129"/>
      <c r="L312" s="129"/>
      <c r="M312" s="129"/>
      <c r="N312" s="129"/>
      <c r="O312" s="129"/>
      <c r="P312" s="129"/>
      <c r="Q312" s="129"/>
      <c r="R312" s="129"/>
      <c r="S312" s="129"/>
      <c r="T312" s="129"/>
      <c r="U312" s="129"/>
      <c r="V312" s="129"/>
      <c r="W312" s="129"/>
      <c r="X312" s="129"/>
      <c r="Y312" s="129"/>
      <c r="Z312" s="129"/>
      <c r="AA312" s="129"/>
      <c r="AB312" s="129"/>
      <c r="AC312" s="129"/>
      <c r="AD312" s="129"/>
      <c r="AE312" s="129"/>
      <c r="AF312" s="129"/>
      <c r="AG312" s="129"/>
      <c r="AH312" s="129"/>
      <c r="AI312" s="129"/>
      <c r="AK312" s="140"/>
      <c r="AL312" s="129"/>
    </row>
    <row r="313" spans="6:38" ht="15" hidden="1" x14ac:dyDescent="0.25">
      <c r="F313" s="129"/>
      <c r="G313" s="129"/>
      <c r="H313" s="129"/>
      <c r="I313" s="129"/>
      <c r="J313" s="129"/>
      <c r="K313" s="129"/>
      <c r="L313" s="129"/>
      <c r="M313" s="129"/>
      <c r="N313" s="129"/>
      <c r="O313" s="129"/>
      <c r="P313" s="129"/>
      <c r="Q313" s="129"/>
      <c r="R313" s="129"/>
      <c r="S313" s="129"/>
      <c r="T313" s="129"/>
      <c r="U313" s="129"/>
      <c r="V313" s="129"/>
      <c r="W313" s="129"/>
      <c r="X313" s="129"/>
      <c r="Y313" s="129"/>
      <c r="Z313" s="129"/>
      <c r="AA313" s="129"/>
      <c r="AB313" s="129"/>
      <c r="AC313" s="129"/>
      <c r="AD313" s="129"/>
      <c r="AE313" s="129"/>
      <c r="AF313" s="129"/>
      <c r="AG313" s="129"/>
      <c r="AH313" s="129"/>
      <c r="AI313" s="129"/>
      <c r="AK313" s="140"/>
      <c r="AL313" s="129"/>
    </row>
    <row r="314" spans="6:38" ht="15" hidden="1" x14ac:dyDescent="0.25">
      <c r="F314" s="129"/>
      <c r="G314" s="129"/>
      <c r="H314" s="129"/>
      <c r="I314" s="129"/>
      <c r="J314" s="129"/>
      <c r="K314" s="129"/>
      <c r="L314" s="129"/>
      <c r="M314" s="129"/>
      <c r="N314" s="129"/>
      <c r="O314" s="129"/>
      <c r="P314" s="129"/>
      <c r="Q314" s="129"/>
      <c r="R314" s="129"/>
      <c r="S314" s="129"/>
      <c r="T314" s="129"/>
      <c r="U314" s="129"/>
      <c r="V314" s="129"/>
      <c r="W314" s="129"/>
      <c r="X314" s="129"/>
      <c r="Y314" s="129"/>
      <c r="Z314" s="129"/>
      <c r="AA314" s="129"/>
      <c r="AB314" s="129"/>
      <c r="AC314" s="129"/>
      <c r="AD314" s="129"/>
      <c r="AE314" s="129"/>
      <c r="AF314" s="129"/>
      <c r="AG314" s="129"/>
      <c r="AH314" s="129"/>
      <c r="AI314" s="129"/>
      <c r="AK314" s="140"/>
      <c r="AL314" s="129"/>
    </row>
    <row r="315" spans="6:38" ht="15" hidden="1" x14ac:dyDescent="0.25">
      <c r="F315" s="129"/>
      <c r="G315" s="129"/>
      <c r="H315" s="129"/>
      <c r="I315" s="129"/>
      <c r="J315" s="129"/>
      <c r="K315" s="129"/>
      <c r="L315" s="129"/>
      <c r="M315" s="129"/>
      <c r="N315" s="129"/>
      <c r="O315" s="129"/>
      <c r="P315" s="129"/>
      <c r="Q315" s="129"/>
      <c r="R315" s="129"/>
      <c r="S315" s="129"/>
      <c r="T315" s="129"/>
      <c r="U315" s="129"/>
      <c r="V315" s="129"/>
      <c r="W315" s="129"/>
      <c r="X315" s="129"/>
      <c r="Y315" s="129"/>
      <c r="Z315" s="129"/>
      <c r="AA315" s="129"/>
      <c r="AB315" s="129"/>
      <c r="AC315" s="129"/>
      <c r="AD315" s="129"/>
      <c r="AE315" s="129"/>
      <c r="AF315" s="129"/>
      <c r="AG315" s="129"/>
      <c r="AH315" s="129"/>
      <c r="AI315" s="129"/>
      <c r="AK315" s="140"/>
      <c r="AL315" s="129"/>
    </row>
    <row r="316" spans="6:38" ht="15" hidden="1" x14ac:dyDescent="0.25">
      <c r="F316" s="129"/>
      <c r="G316" s="129"/>
      <c r="H316" s="129"/>
      <c r="I316" s="129"/>
      <c r="J316" s="129"/>
      <c r="K316" s="129"/>
      <c r="L316" s="129"/>
      <c r="M316" s="129"/>
      <c r="N316" s="129"/>
      <c r="O316" s="129"/>
      <c r="P316" s="129"/>
      <c r="Q316" s="129"/>
      <c r="R316" s="129"/>
      <c r="S316" s="129"/>
      <c r="T316" s="129"/>
      <c r="U316" s="129"/>
      <c r="V316" s="129"/>
      <c r="W316" s="129"/>
      <c r="X316" s="129"/>
      <c r="Y316" s="129"/>
      <c r="Z316" s="129"/>
      <c r="AA316" s="129"/>
      <c r="AB316" s="129"/>
      <c r="AC316" s="129"/>
      <c r="AD316" s="129"/>
      <c r="AE316" s="129"/>
      <c r="AF316" s="129"/>
      <c r="AG316" s="129"/>
      <c r="AH316" s="129"/>
      <c r="AI316" s="129"/>
      <c r="AK316" s="140"/>
      <c r="AL316" s="129"/>
    </row>
    <row r="317" spans="6:38" ht="15" hidden="1" x14ac:dyDescent="0.25">
      <c r="F317" s="129"/>
      <c r="G317" s="129"/>
      <c r="H317" s="129"/>
      <c r="I317" s="129"/>
      <c r="J317" s="129"/>
      <c r="K317" s="129"/>
      <c r="L317" s="129"/>
      <c r="M317" s="129"/>
      <c r="N317" s="129"/>
      <c r="O317" s="129"/>
      <c r="P317" s="129"/>
      <c r="Q317" s="129"/>
      <c r="R317" s="129"/>
      <c r="S317" s="129"/>
      <c r="T317" s="129"/>
      <c r="U317" s="129"/>
      <c r="V317" s="129"/>
      <c r="W317" s="129"/>
      <c r="X317" s="129"/>
      <c r="Y317" s="129"/>
      <c r="Z317" s="129"/>
      <c r="AA317" s="129"/>
      <c r="AB317" s="129"/>
      <c r="AC317" s="129"/>
      <c r="AD317" s="129"/>
      <c r="AE317" s="129"/>
      <c r="AF317" s="129"/>
      <c r="AG317" s="129"/>
      <c r="AH317" s="129"/>
      <c r="AI317" s="129"/>
      <c r="AK317" s="140"/>
      <c r="AL317" s="129"/>
    </row>
    <row r="318" spans="6:38" ht="15" hidden="1" x14ac:dyDescent="0.25">
      <c r="F318" s="129"/>
      <c r="G318" s="129"/>
      <c r="H318" s="129"/>
      <c r="I318" s="129"/>
      <c r="J318" s="129"/>
      <c r="K318" s="129"/>
      <c r="L318" s="129"/>
      <c r="M318" s="129"/>
      <c r="N318" s="129"/>
      <c r="O318" s="129"/>
      <c r="P318" s="129"/>
      <c r="Q318" s="129"/>
      <c r="R318" s="129"/>
      <c r="S318" s="129"/>
      <c r="T318" s="129"/>
      <c r="U318" s="129"/>
      <c r="V318" s="129"/>
      <c r="W318" s="129"/>
      <c r="X318" s="129"/>
      <c r="Y318" s="129"/>
      <c r="Z318" s="129"/>
      <c r="AA318" s="129"/>
      <c r="AB318" s="129"/>
      <c r="AC318" s="129"/>
      <c r="AD318" s="129"/>
      <c r="AE318" s="129"/>
      <c r="AF318" s="129"/>
      <c r="AG318" s="129"/>
      <c r="AH318" s="129"/>
      <c r="AI318" s="129"/>
      <c r="AK318" s="140"/>
      <c r="AL318" s="129"/>
    </row>
    <row r="319" spans="6:38" ht="15" hidden="1" x14ac:dyDescent="0.25">
      <c r="F319" s="129"/>
      <c r="G319" s="129"/>
      <c r="H319" s="129"/>
      <c r="I319" s="129"/>
      <c r="J319" s="129"/>
      <c r="K319" s="129"/>
      <c r="L319" s="129"/>
      <c r="M319" s="129"/>
      <c r="N319" s="129"/>
      <c r="O319" s="129"/>
      <c r="P319" s="129"/>
      <c r="Q319" s="129"/>
      <c r="R319" s="129"/>
      <c r="S319" s="129"/>
      <c r="T319" s="129"/>
      <c r="U319" s="129"/>
      <c r="V319" s="129"/>
      <c r="W319" s="129"/>
      <c r="X319" s="129"/>
      <c r="Y319" s="129"/>
      <c r="Z319" s="129"/>
      <c r="AA319" s="129"/>
      <c r="AB319" s="129"/>
      <c r="AC319" s="129"/>
      <c r="AD319" s="129"/>
      <c r="AE319" s="129"/>
      <c r="AF319" s="129"/>
      <c r="AG319" s="129"/>
      <c r="AH319" s="129"/>
      <c r="AI319" s="129"/>
      <c r="AK319" s="140"/>
      <c r="AL319" s="129"/>
    </row>
    <row r="320" spans="6:38" ht="15" hidden="1" x14ac:dyDescent="0.25">
      <c r="F320" s="129"/>
      <c r="G320" s="129"/>
      <c r="H320" s="129"/>
      <c r="I320" s="129"/>
      <c r="J320" s="129"/>
      <c r="K320" s="129"/>
      <c r="L320" s="129"/>
      <c r="M320" s="129"/>
      <c r="N320" s="129"/>
      <c r="O320" s="129"/>
      <c r="P320" s="129"/>
      <c r="Q320" s="129"/>
      <c r="R320" s="129"/>
      <c r="S320" s="129"/>
      <c r="T320" s="129"/>
      <c r="U320" s="129"/>
      <c r="V320" s="129"/>
      <c r="W320" s="129"/>
      <c r="X320" s="129"/>
      <c r="Y320" s="129"/>
      <c r="Z320" s="129"/>
      <c r="AA320" s="129"/>
      <c r="AB320" s="129"/>
      <c r="AC320" s="129"/>
      <c r="AD320" s="129"/>
      <c r="AE320" s="129"/>
      <c r="AF320" s="129"/>
      <c r="AG320" s="129"/>
      <c r="AH320" s="129"/>
      <c r="AI320" s="129"/>
    </row>
    <row r="321" spans="6:35" ht="15" hidden="1" x14ac:dyDescent="0.25">
      <c r="F321" s="129"/>
      <c r="G321" s="129"/>
      <c r="H321" s="129"/>
      <c r="I321" s="129"/>
      <c r="J321" s="129"/>
      <c r="K321" s="129"/>
      <c r="L321" s="129"/>
      <c r="M321" s="129"/>
      <c r="N321" s="129"/>
      <c r="O321" s="129"/>
      <c r="P321" s="129"/>
      <c r="Q321" s="129"/>
      <c r="R321" s="129"/>
      <c r="S321" s="129"/>
      <c r="T321" s="129"/>
      <c r="U321" s="129"/>
      <c r="V321" s="129"/>
      <c r="W321" s="129"/>
      <c r="X321" s="129"/>
      <c r="Y321" s="129"/>
      <c r="Z321" s="129"/>
      <c r="AA321" s="129"/>
      <c r="AB321" s="129"/>
      <c r="AC321" s="129"/>
      <c r="AD321" s="129"/>
      <c r="AE321" s="129"/>
      <c r="AF321" s="129"/>
      <c r="AG321" s="129"/>
      <c r="AH321" s="129"/>
      <c r="AI321" s="129"/>
    </row>
    <row r="322" spans="6:35" ht="15" hidden="1" x14ac:dyDescent="0.25">
      <c r="F322" s="129"/>
      <c r="G322" s="129"/>
      <c r="H322" s="129"/>
      <c r="I322" s="129"/>
      <c r="J322" s="129"/>
      <c r="K322" s="129"/>
      <c r="L322" s="129"/>
      <c r="M322" s="129"/>
      <c r="N322" s="129"/>
      <c r="O322" s="129"/>
      <c r="P322" s="129"/>
      <c r="Q322" s="129"/>
      <c r="R322" s="129"/>
      <c r="S322" s="129"/>
      <c r="T322" s="129"/>
      <c r="U322" s="129"/>
      <c r="V322" s="129"/>
      <c r="W322" s="129"/>
      <c r="X322" s="129"/>
      <c r="Y322" s="129"/>
      <c r="Z322" s="129"/>
      <c r="AA322" s="129"/>
      <c r="AB322" s="129"/>
      <c r="AC322" s="129"/>
      <c r="AD322" s="129"/>
      <c r="AE322" s="129"/>
      <c r="AF322" s="129"/>
      <c r="AG322" s="129"/>
      <c r="AH322" s="129"/>
      <c r="AI322" s="129"/>
    </row>
    <row r="323" spans="6:35" ht="15" hidden="1" x14ac:dyDescent="0.25">
      <c r="F323" s="129"/>
      <c r="G323" s="129"/>
      <c r="H323" s="129"/>
      <c r="I323" s="129"/>
      <c r="J323" s="129"/>
      <c r="K323" s="129"/>
      <c r="L323" s="129"/>
      <c r="M323" s="129"/>
      <c r="N323" s="129"/>
      <c r="O323" s="129"/>
      <c r="P323" s="129"/>
      <c r="Q323" s="129"/>
      <c r="R323" s="129"/>
      <c r="S323" s="129"/>
      <c r="T323" s="129"/>
      <c r="U323" s="129"/>
      <c r="V323" s="129"/>
      <c r="W323" s="129"/>
      <c r="X323" s="129"/>
      <c r="Y323" s="129"/>
      <c r="Z323" s="129"/>
      <c r="AA323" s="129"/>
      <c r="AB323" s="129"/>
      <c r="AC323" s="129"/>
      <c r="AD323" s="129"/>
      <c r="AE323" s="129"/>
      <c r="AF323" s="129"/>
      <c r="AG323" s="129"/>
      <c r="AH323" s="129"/>
      <c r="AI323" s="129"/>
    </row>
    <row r="324" spans="6:35" ht="15" hidden="1" x14ac:dyDescent="0.25"/>
    <row r="325" spans="6:35" ht="15" hidden="1" customHeight="1" x14ac:dyDescent="0.25"/>
  </sheetData>
  <sheetProtection password="CACB" sheet="1" objects="1" scenarios="1" formatCells="0" formatColumns="0" formatRows="0" insertColumns="0" insertRows="0" insertHyperlinks="0" deleteColumns="0" deleteRows="0" sort="0" autoFilter="0" pivotTables="0"/>
  <protectedRanges>
    <protectedRange password="9317" sqref="AI33:AK36" name="Range2"/>
    <protectedRange password="9317" sqref="AI5:AJ28" name="Range1"/>
  </protectedRanges>
  <mergeCells count="16">
    <mergeCell ref="G7:I7"/>
    <mergeCell ref="G8:I9"/>
    <mergeCell ref="K8:L9"/>
    <mergeCell ref="D23:E24"/>
    <mergeCell ref="F23:F24"/>
    <mergeCell ref="G10:I10"/>
    <mergeCell ref="G11:I11"/>
    <mergeCell ref="G12:G13"/>
    <mergeCell ref="H12:H13"/>
    <mergeCell ref="I12:I13"/>
    <mergeCell ref="E15:F15"/>
    <mergeCell ref="C1:D1"/>
    <mergeCell ref="G3:I3"/>
    <mergeCell ref="G4:I5"/>
    <mergeCell ref="G6:I6"/>
    <mergeCell ref="K6:L6"/>
  </mergeCells>
  <conditionalFormatting sqref="L15:AI15 N14:AI14 G6:G7">
    <cfRule type="cellIs" dxfId="9" priority="7" operator="equal">
      <formula>"Keep it up"</formula>
    </cfRule>
  </conditionalFormatting>
  <conditionalFormatting sqref="AL5:AL28">
    <cfRule type="expression" dxfId="8" priority="6">
      <formula>IF(AR5&gt;=50%,TRUE,FALSE)</formula>
    </cfRule>
  </conditionalFormatting>
  <conditionalFormatting sqref="F25:I27 F23:I23">
    <cfRule type="containsText" dxfId="7" priority="5" operator="containsText" text="No">
      <formula>NOT(ISERROR(SEARCH("No",F23)))</formula>
    </cfRule>
  </conditionalFormatting>
  <conditionalFormatting sqref="F23:I27">
    <cfRule type="containsText" dxfId="6" priority="4" operator="containsText" text="Yes">
      <formula>NOT(ISERROR(SEARCH("Yes",F23)))</formula>
    </cfRule>
  </conditionalFormatting>
  <conditionalFormatting sqref="G8">
    <cfRule type="containsText" dxfId="5" priority="1" operator="containsText" text="☠">
      <formula>NOT(ISERROR(SEARCH("☠",G8)))</formula>
    </cfRule>
    <cfRule type="containsText" dxfId="4" priority="2" operator="containsText" text="★★★★½">
      <formula>NOT(ISERROR(SEARCH("★★★★½",G8)))</formula>
    </cfRule>
    <cfRule type="containsText" dxfId="3" priority="3" operator="containsText" text="★★★★">
      <formula>NOT(ISERROR(SEARCH("★★★★",G8)))</formula>
    </cfRule>
  </conditionalFormatting>
  <dataValidations count="20">
    <dataValidation allowBlank="1" showInputMessage="1" showErrorMessage="1" prompt="Check for graded/non-graded characteristic of the cells and ensure all the required cells are considered for grading" sqref="AJ21"/>
    <dataValidation allowBlank="1" showInputMessage="1" showErrorMessage="1" prompt="Check for toggle group issues and shuffle group issues to ensure order of entry is taken care of" sqref="AJ20"/>
    <dataValidation allowBlank="1" showInputMessage="1" showErrorMessage="1" prompt="Acceptance of positive/negative values in the setups provided online." sqref="AJ19"/>
    <dataValidation allowBlank="1" showInputMessage="1" showErrorMessage="1" prompt="Check the back-end tool for any errors in the formulas in the IRT setup tables." sqref="AJ18"/>
    <dataValidation allowBlank="1" showInputMessage="1" showErrorMessage="1" prompt="Project name and edition" sqref="E3"/>
    <dataValidation allowBlank="1" showInputMessage="1" showErrorMessage="1" prompt="Enter the total number of comments rephrased during the review process. Do not include minor changes such as correction of typos." sqref="E13"/>
    <dataValidation allowBlank="1" showInputMessage="1" showErrorMessage="1" prompt="Calculation issues due to incorrect linking which affects the computation." sqref="AJ6"/>
    <dataValidation allowBlank="1" showInputMessage="1" showErrorMessage="1" prompt="Enter the question count of static + question count of Algo questions as provided in the report." sqref="K17:AI21 E11"/>
    <dataValidation type="list" allowBlank="1" showInputMessage="1" showErrorMessage="1" sqref="F25:I30 F23:I23">
      <formula1>"Click to select, Yes, No"</formula1>
    </dataValidation>
    <dataValidation allowBlank="1" showInputMessage="1" showErrorMessage="1" prompt="Missing instruction, Irrelevant instruction to be deleted." sqref="AJ8"/>
    <dataValidation allowBlank="1" showInputMessage="1" showErrorMessage="1" prompt="Incorrect Feedback (CMW/ Post submission/ Explanation)" sqref="AJ9"/>
    <dataValidation allowBlank="1" showInputMessage="1" showErrorMessage="1" prompt="Give-away to solve the answer. (Hints/Rollover/CMW)" sqref="AJ10"/>
    <dataValidation allowBlank="1" showInputMessage="1" showErrorMessage="1" prompt="Duplicate or conflicting distractor, Dropdown option inconsistent with COA, Order of entry issue." sqref="AJ11"/>
    <dataValidation allowBlank="1" showInputMessage="1" showErrorMessage="1" prompt="Issues generally observed in questions which are conceptually incorrect. e.g., values generated for the question in dataset/ connect." sqref="AJ5"/>
    <dataValidation allowBlank="1" showInputMessage="1" showErrorMessage="1" prompt="Consistency for the set-ups, instruction, suffix for the entry fields, formats etc. throughout the chapter or project._x000a_Initial checker/Reviewer should check with the Reviewer/QA's on this." sqref="AJ12"/>
    <dataValidation allowBlank="1" showInputMessage="1" showErrorMessage="1" prompt="Core consistency check with the text - question information which excludes rephrasing the requirement for online rendering." sqref="AJ7"/>
    <dataValidation allowBlank="1" showInputMessage="1" showErrorMessage="1" prompt="JE tags for the same dates, descriptions, reference tab, requirement tags etc. " sqref="AJ13"/>
    <dataValidation allowBlank="1" showInputMessage="1" showErrorMessage="1" prompt="Relates to the Journal entries." sqref="AJ14"/>
    <dataValidation allowBlank="1" showInputMessage="1" showErrorMessage="1" prompt="Includes Setup that should match with the IRT guidelines/CNOW guidelines." sqref="AJ17"/>
    <dataValidation operator="equal" allowBlank="1" showInputMessage="1" showErrorMessage="1" prompt="USE &quot;CTRL+;&quot; to enter the date of review" sqref="E7"/>
  </dataValidations>
  <hyperlinks>
    <hyperlink ref="C1" location="'AC Report'!B19" tooltip="REPORT" display="Report"/>
    <hyperlink ref="N1" location="'Spotchecks-QA audit'!AI1:AL1" tooltip="issue count table" display="=&gt;"/>
    <hyperlink ref="C1:D1" location="'AC Report-Final'!B19" tooltip="REPORT" display="Report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UPDATE">
          <controlPr defaultSize="0" autoLine="0" altText="USE THIS COMMAND TOOL TO UPDATE THE PT TRACKER." r:id="rId5">
            <anchor moveWithCells="1">
              <from>
                <xdr:col>9</xdr:col>
                <xdr:colOff>542925</xdr:colOff>
                <xdr:row>6</xdr:row>
                <xdr:rowOff>171450</xdr:rowOff>
              </from>
              <to>
                <xdr:col>11</xdr:col>
                <xdr:colOff>790575</xdr:colOff>
                <xdr:row>8</xdr:row>
                <xdr:rowOff>161925</xdr:rowOff>
              </to>
            </anchor>
          </controlPr>
        </control>
      </mc:Choice>
      <mc:Fallback>
        <control shapeId="2049" r:id="rId4" name="UPD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29"/>
  <sheetViews>
    <sheetView showGridLines="0" showRowColHeaders="0" topLeftCell="A26" zoomScale="85" zoomScaleNormal="85" workbookViewId="0">
      <selection activeCell="A26" sqref="A26"/>
    </sheetView>
  </sheetViews>
  <sheetFormatPr defaultColWidth="0" defaultRowHeight="15" x14ac:dyDescent="0.25"/>
  <cols>
    <col min="1" max="1" width="4.42578125" bestFit="1" customWidth="1"/>
    <col min="2" max="2" width="21.85546875" customWidth="1"/>
    <col min="3" max="3" width="15" customWidth="1"/>
    <col min="4" max="4" width="11.28515625" style="214" bestFit="1" customWidth="1"/>
    <col min="5" max="5" width="43.140625" customWidth="1"/>
    <col min="6" max="6" width="51.85546875" customWidth="1"/>
    <col min="7" max="7" width="32.42578125" customWidth="1"/>
    <col min="8" max="8" width="26.42578125" customWidth="1"/>
    <col min="9" max="9" width="4.42578125" style="187" bestFit="1" customWidth="1"/>
    <col min="10" max="16384" width="9.140625" hidden="1"/>
  </cols>
  <sheetData>
    <row r="1" spans="2:8" ht="18.75" hidden="1" x14ac:dyDescent="0.3">
      <c r="B1" s="308" t="s">
        <v>98</v>
      </c>
      <c r="C1" s="308"/>
    </row>
    <row r="2" spans="2:8" hidden="1" x14ac:dyDescent="0.25">
      <c r="G2" s="22" t="s">
        <v>9</v>
      </c>
      <c r="H2" s="22" t="s">
        <v>9</v>
      </c>
    </row>
    <row r="3" spans="2:8" hidden="1" x14ac:dyDescent="0.25">
      <c r="G3" s="22" t="s">
        <v>11</v>
      </c>
      <c r="H3" s="22" t="s">
        <v>11</v>
      </c>
    </row>
    <row r="4" spans="2:8" hidden="1" x14ac:dyDescent="0.25">
      <c r="G4" s="22" t="s">
        <v>13</v>
      </c>
      <c r="H4" s="22" t="s">
        <v>13</v>
      </c>
    </row>
    <row r="5" spans="2:8" hidden="1" x14ac:dyDescent="0.25">
      <c r="G5" s="22" t="s">
        <v>15</v>
      </c>
      <c r="H5" s="22" t="s">
        <v>15</v>
      </c>
    </row>
    <row r="6" spans="2:8" hidden="1" x14ac:dyDescent="0.25">
      <c r="G6" s="22" t="s">
        <v>16</v>
      </c>
      <c r="H6" s="22" t="s">
        <v>16</v>
      </c>
    </row>
    <row r="7" spans="2:8" hidden="1" x14ac:dyDescent="0.25">
      <c r="G7" s="22" t="s">
        <v>17</v>
      </c>
      <c r="H7" s="22" t="s">
        <v>17</v>
      </c>
    </row>
    <row r="8" spans="2:8" hidden="1" x14ac:dyDescent="0.25">
      <c r="G8" s="22" t="s">
        <v>18</v>
      </c>
      <c r="H8" s="22" t="s">
        <v>18</v>
      </c>
    </row>
    <row r="9" spans="2:8" hidden="1" x14ac:dyDescent="0.25">
      <c r="G9" s="22" t="s">
        <v>22</v>
      </c>
      <c r="H9" s="22" t="s">
        <v>22</v>
      </c>
    </row>
    <row r="10" spans="2:8" hidden="1" x14ac:dyDescent="0.25">
      <c r="G10" s="22" t="s">
        <v>24</v>
      </c>
      <c r="H10" s="22" t="s">
        <v>24</v>
      </c>
    </row>
    <row r="11" spans="2:8" hidden="1" x14ac:dyDescent="0.25">
      <c r="G11" s="22" t="s">
        <v>26</v>
      </c>
      <c r="H11" s="22" t="s">
        <v>26</v>
      </c>
    </row>
    <row r="12" spans="2:8" hidden="1" x14ac:dyDescent="0.25">
      <c r="G12" s="22" t="s">
        <v>28</v>
      </c>
      <c r="H12" s="22" t="s">
        <v>28</v>
      </c>
    </row>
    <row r="13" spans="2:8" hidden="1" x14ac:dyDescent="0.25">
      <c r="G13" s="22" t="s">
        <v>29</v>
      </c>
      <c r="H13" s="22" t="s">
        <v>29</v>
      </c>
    </row>
    <row r="14" spans="2:8" hidden="1" x14ac:dyDescent="0.25">
      <c r="G14" s="22" t="s">
        <v>83</v>
      </c>
      <c r="H14" s="22" t="s">
        <v>83</v>
      </c>
    </row>
    <row r="15" spans="2:8" hidden="1" x14ac:dyDescent="0.25">
      <c r="G15" s="22" t="s">
        <v>84</v>
      </c>
      <c r="H15" s="22" t="s">
        <v>84</v>
      </c>
    </row>
    <row r="16" spans="2:8" hidden="1" x14ac:dyDescent="0.25">
      <c r="G16" s="22" t="s">
        <v>85</v>
      </c>
      <c r="H16" s="22" t="s">
        <v>85</v>
      </c>
    </row>
    <row r="17" spans="1:9" hidden="1" x14ac:dyDescent="0.25">
      <c r="G17" s="22" t="s">
        <v>86</v>
      </c>
      <c r="H17" s="22" t="s">
        <v>86</v>
      </c>
    </row>
    <row r="18" spans="1:9" hidden="1" x14ac:dyDescent="0.25">
      <c r="G18" s="22" t="s">
        <v>87</v>
      </c>
      <c r="H18" s="22" t="s">
        <v>87</v>
      </c>
    </row>
    <row r="19" spans="1:9" hidden="1" x14ac:dyDescent="0.25">
      <c r="G19" s="22" t="s">
        <v>31</v>
      </c>
      <c r="H19" s="22" t="s">
        <v>31</v>
      </c>
    </row>
    <row r="20" spans="1:9" hidden="1" x14ac:dyDescent="0.25">
      <c r="G20" s="22" t="s">
        <v>32</v>
      </c>
      <c r="H20" s="22" t="s">
        <v>32</v>
      </c>
    </row>
    <row r="21" spans="1:9" hidden="1" x14ac:dyDescent="0.25">
      <c r="G21" s="108" t="s">
        <v>33</v>
      </c>
      <c r="H21" s="108" t="s">
        <v>33</v>
      </c>
    </row>
    <row r="22" spans="1:9" hidden="1" x14ac:dyDescent="0.25">
      <c r="G22" s="118" t="str">
        <f>'Reviewer''s report'!AJ33</f>
        <v>Incorrect reporting</v>
      </c>
      <c r="H22" s="118" t="str">
        <f>G22</f>
        <v>Incorrect reporting</v>
      </c>
    </row>
    <row r="23" spans="1:9" ht="15.75" hidden="1" customHeight="1" x14ac:dyDescent="0.25">
      <c r="B23" s="307"/>
      <c r="C23" s="307"/>
      <c r="G23" s="118" t="str">
        <f>'Reviewer''s report'!AJ34</f>
        <v>Algo consistency</v>
      </c>
      <c r="H23" s="119" t="str">
        <f>G23</f>
        <v>Algo consistency</v>
      </c>
    </row>
    <row r="24" spans="1:9" hidden="1" x14ac:dyDescent="0.25">
      <c r="G24" s="118" t="str">
        <f>'Reviewer''s report'!AJ35</f>
        <v>Adherence to guidelines</v>
      </c>
      <c r="H24" s="119" t="str">
        <f>G24</f>
        <v>Adherence to guidelines</v>
      </c>
    </row>
    <row r="25" spans="1:9" ht="15.75" hidden="1" thickBot="1" x14ac:dyDescent="0.3">
      <c r="G25" s="118">
        <f>'Reviewer''s report'!AJ36</f>
        <v>0</v>
      </c>
      <c r="H25" s="119">
        <f>G25</f>
        <v>0</v>
      </c>
    </row>
    <row r="26" spans="1:9" s="214" customFormat="1" ht="16.5" thickBot="1" x14ac:dyDescent="0.3">
      <c r="B26" s="113" t="s">
        <v>34</v>
      </c>
      <c r="C26" s="114" t="s">
        <v>35</v>
      </c>
      <c r="D26" s="114" t="s">
        <v>74</v>
      </c>
      <c r="E26" s="115" t="s">
        <v>51</v>
      </c>
      <c r="F26" s="115" t="s">
        <v>37</v>
      </c>
      <c r="G26" s="114" t="s">
        <v>80</v>
      </c>
      <c r="H26" s="116" t="s">
        <v>72</v>
      </c>
      <c r="I26" s="208"/>
    </row>
    <row r="27" spans="1:9" x14ac:dyDescent="0.25">
      <c r="A27">
        <v>1</v>
      </c>
      <c r="B27" s="109"/>
      <c r="C27" s="110"/>
      <c r="D27" s="110"/>
      <c r="E27" s="111"/>
      <c r="F27" s="111"/>
      <c r="G27" s="112"/>
      <c r="H27" s="112"/>
      <c r="I27" s="187">
        <v>1</v>
      </c>
    </row>
    <row r="28" spans="1:9" x14ac:dyDescent="0.25">
      <c r="A28">
        <v>2</v>
      </c>
      <c r="B28" s="68"/>
      <c r="C28" s="87"/>
      <c r="D28" s="110"/>
      <c r="E28" s="70"/>
      <c r="F28" s="70"/>
      <c r="G28" s="112"/>
      <c r="H28" s="112"/>
      <c r="I28" s="187">
        <v>2</v>
      </c>
    </row>
    <row r="29" spans="1:9" x14ac:dyDescent="0.25">
      <c r="A29">
        <v>3</v>
      </c>
      <c r="B29" s="68"/>
      <c r="C29" s="87"/>
      <c r="D29" s="110"/>
      <c r="E29" s="70"/>
      <c r="F29" s="70"/>
      <c r="G29" s="112"/>
      <c r="H29" s="112"/>
      <c r="I29" s="187">
        <v>3</v>
      </c>
    </row>
    <row r="30" spans="1:9" x14ac:dyDescent="0.25">
      <c r="A30">
        <v>4</v>
      </c>
      <c r="B30" s="68"/>
      <c r="C30" s="87"/>
      <c r="D30" s="110"/>
      <c r="E30" s="70"/>
      <c r="F30" s="70"/>
      <c r="G30" s="112"/>
      <c r="H30" s="112"/>
      <c r="I30" s="187">
        <v>4</v>
      </c>
    </row>
    <row r="31" spans="1:9" x14ac:dyDescent="0.25">
      <c r="A31">
        <v>5</v>
      </c>
      <c r="B31" s="68"/>
      <c r="C31" s="87"/>
      <c r="D31" s="110"/>
      <c r="E31" s="70"/>
      <c r="F31" s="70"/>
      <c r="G31" s="112"/>
      <c r="H31" s="112"/>
      <c r="I31" s="187">
        <v>5</v>
      </c>
    </row>
    <row r="32" spans="1:9" x14ac:dyDescent="0.25">
      <c r="A32">
        <v>6</v>
      </c>
      <c r="B32" s="68"/>
      <c r="C32" s="87"/>
      <c r="D32" s="110"/>
      <c r="E32" s="70"/>
      <c r="F32" s="70"/>
      <c r="G32" s="112"/>
      <c r="H32" s="112"/>
      <c r="I32" s="187">
        <v>6</v>
      </c>
    </row>
    <row r="33" spans="1:9" x14ac:dyDescent="0.25">
      <c r="A33">
        <v>7</v>
      </c>
      <c r="B33" s="68"/>
      <c r="C33" s="87"/>
      <c r="D33" s="110"/>
      <c r="E33" s="70"/>
      <c r="F33" s="70"/>
      <c r="G33" s="112"/>
      <c r="H33" s="112"/>
      <c r="I33" s="187">
        <v>7</v>
      </c>
    </row>
    <row r="34" spans="1:9" x14ac:dyDescent="0.25">
      <c r="A34">
        <v>8</v>
      </c>
      <c r="B34" s="68"/>
      <c r="C34" s="87"/>
      <c r="D34" s="110"/>
      <c r="E34" s="70"/>
      <c r="F34" s="70"/>
      <c r="G34" s="112"/>
      <c r="H34" s="112"/>
      <c r="I34" s="187">
        <v>8</v>
      </c>
    </row>
    <row r="35" spans="1:9" x14ac:dyDescent="0.25">
      <c r="A35">
        <v>9</v>
      </c>
      <c r="B35" s="209"/>
      <c r="C35" s="204"/>
      <c r="D35" s="110"/>
      <c r="E35" s="74"/>
      <c r="F35" s="74"/>
      <c r="G35" s="112"/>
      <c r="H35" s="112"/>
      <c r="I35" s="187">
        <v>9</v>
      </c>
    </row>
    <row r="36" spans="1:9" x14ac:dyDescent="0.25">
      <c r="A36">
        <v>10</v>
      </c>
      <c r="B36" s="209"/>
      <c r="C36" s="204"/>
      <c r="D36" s="204"/>
      <c r="E36" s="74"/>
      <c r="F36" s="74"/>
      <c r="G36" s="112"/>
      <c r="H36" s="112"/>
      <c r="I36" s="187">
        <v>10</v>
      </c>
    </row>
    <row r="37" spans="1:9" x14ac:dyDescent="0.25">
      <c r="A37">
        <v>11</v>
      </c>
      <c r="B37" s="209"/>
      <c r="C37" s="204"/>
      <c r="D37" s="204"/>
      <c r="E37" s="74"/>
      <c r="F37" s="74"/>
      <c r="G37" s="112"/>
      <c r="H37" s="112"/>
      <c r="I37" s="187">
        <v>11</v>
      </c>
    </row>
    <row r="38" spans="1:9" x14ac:dyDescent="0.25">
      <c r="A38">
        <v>12</v>
      </c>
      <c r="B38" s="209"/>
      <c r="C38" s="204"/>
      <c r="D38" s="204"/>
      <c r="E38" s="74"/>
      <c r="F38" s="74"/>
      <c r="G38" s="112"/>
      <c r="H38" s="112"/>
      <c r="I38" s="187">
        <v>12</v>
      </c>
    </row>
    <row r="39" spans="1:9" x14ac:dyDescent="0.25">
      <c r="A39">
        <v>13</v>
      </c>
      <c r="B39" s="209"/>
      <c r="C39" s="204"/>
      <c r="D39" s="204"/>
      <c r="E39" s="74"/>
      <c r="F39" s="74"/>
      <c r="G39" s="112"/>
      <c r="H39" s="112"/>
      <c r="I39" s="187">
        <v>13</v>
      </c>
    </row>
    <row r="40" spans="1:9" x14ac:dyDescent="0.25">
      <c r="A40">
        <v>14</v>
      </c>
      <c r="B40" s="209"/>
      <c r="C40" s="204"/>
      <c r="D40" s="204"/>
      <c r="E40" s="74"/>
      <c r="F40" s="74"/>
      <c r="G40" s="112"/>
      <c r="H40" s="112"/>
      <c r="I40" s="187">
        <v>14</v>
      </c>
    </row>
    <row r="41" spans="1:9" x14ac:dyDescent="0.25">
      <c r="A41">
        <v>15</v>
      </c>
      <c r="B41" s="209"/>
      <c r="C41" s="204"/>
      <c r="D41" s="204"/>
      <c r="E41" s="74"/>
      <c r="F41" s="74"/>
      <c r="G41" s="112"/>
      <c r="H41" s="112"/>
      <c r="I41" s="187">
        <v>15</v>
      </c>
    </row>
    <row r="42" spans="1:9" x14ac:dyDescent="0.25">
      <c r="A42">
        <v>16</v>
      </c>
      <c r="B42" s="209"/>
      <c r="C42" s="204"/>
      <c r="D42" s="204"/>
      <c r="E42" s="74"/>
      <c r="F42" s="74"/>
      <c r="G42" s="112"/>
      <c r="H42" s="112"/>
      <c r="I42" s="187">
        <v>16</v>
      </c>
    </row>
    <row r="43" spans="1:9" x14ac:dyDescent="0.25">
      <c r="A43">
        <v>17</v>
      </c>
      <c r="B43" s="209"/>
      <c r="C43" s="204"/>
      <c r="D43" s="204"/>
      <c r="E43" s="74"/>
      <c r="F43" s="74"/>
      <c r="G43" s="112"/>
      <c r="H43" s="112"/>
      <c r="I43" s="187">
        <v>17</v>
      </c>
    </row>
    <row r="44" spans="1:9" x14ac:dyDescent="0.25">
      <c r="A44">
        <v>18</v>
      </c>
      <c r="B44" s="209"/>
      <c r="C44" s="204"/>
      <c r="D44" s="204"/>
      <c r="E44" s="74"/>
      <c r="F44" s="74"/>
      <c r="G44" s="112"/>
      <c r="H44" s="112"/>
      <c r="I44" s="187">
        <v>18</v>
      </c>
    </row>
    <row r="45" spans="1:9" x14ac:dyDescent="0.25">
      <c r="A45">
        <v>19</v>
      </c>
      <c r="B45" s="209"/>
      <c r="C45" s="204"/>
      <c r="D45" s="204"/>
      <c r="E45" s="74"/>
      <c r="F45" s="74"/>
      <c r="G45" s="112"/>
      <c r="H45" s="112"/>
      <c r="I45" s="187">
        <v>19</v>
      </c>
    </row>
    <row r="46" spans="1:9" x14ac:dyDescent="0.25">
      <c r="A46">
        <v>20</v>
      </c>
      <c r="B46" s="209"/>
      <c r="C46" s="204"/>
      <c r="D46" s="204"/>
      <c r="E46" s="74"/>
      <c r="F46" s="74"/>
      <c r="G46" s="112"/>
      <c r="H46" s="112"/>
      <c r="I46" s="187">
        <v>20</v>
      </c>
    </row>
    <row r="47" spans="1:9" x14ac:dyDescent="0.25">
      <c r="A47">
        <v>21</v>
      </c>
      <c r="B47" s="209"/>
      <c r="C47" s="204"/>
      <c r="D47" s="204"/>
      <c r="E47" s="74"/>
      <c r="F47" s="74"/>
      <c r="G47" s="112"/>
      <c r="H47" s="112"/>
      <c r="I47" s="187">
        <v>21</v>
      </c>
    </row>
    <row r="48" spans="1:9" x14ac:dyDescent="0.25">
      <c r="A48">
        <v>22</v>
      </c>
      <c r="B48" s="209"/>
      <c r="C48" s="204"/>
      <c r="D48" s="204"/>
      <c r="E48" s="74"/>
      <c r="F48" s="74"/>
      <c r="G48" s="112"/>
      <c r="H48" s="112"/>
      <c r="I48" s="187">
        <v>22</v>
      </c>
    </row>
    <row r="49" spans="1:9" x14ac:dyDescent="0.25">
      <c r="A49">
        <v>23</v>
      </c>
      <c r="B49" s="209"/>
      <c r="C49" s="204"/>
      <c r="D49" s="204"/>
      <c r="E49" s="74"/>
      <c r="F49" s="74"/>
      <c r="G49" s="112"/>
      <c r="H49" s="112"/>
      <c r="I49" s="187">
        <v>23</v>
      </c>
    </row>
    <row r="50" spans="1:9" x14ac:dyDescent="0.25">
      <c r="A50">
        <v>24</v>
      </c>
      <c r="B50" s="209"/>
      <c r="C50" s="204"/>
      <c r="D50" s="204"/>
      <c r="E50" s="74"/>
      <c r="F50" s="74"/>
      <c r="G50" s="112"/>
      <c r="H50" s="112"/>
      <c r="I50" s="187">
        <v>24</v>
      </c>
    </row>
    <row r="51" spans="1:9" x14ac:dyDescent="0.25">
      <c r="A51">
        <v>25</v>
      </c>
      <c r="B51" s="209"/>
      <c r="C51" s="204"/>
      <c r="D51" s="204"/>
      <c r="E51" s="74"/>
      <c r="F51" s="74"/>
      <c r="G51" s="112"/>
      <c r="H51" s="112"/>
      <c r="I51" s="187">
        <v>25</v>
      </c>
    </row>
    <row r="52" spans="1:9" x14ac:dyDescent="0.25">
      <c r="A52">
        <v>26</v>
      </c>
      <c r="B52" s="209"/>
      <c r="C52" s="204"/>
      <c r="D52" s="204"/>
      <c r="E52" s="74"/>
      <c r="F52" s="74"/>
      <c r="G52" s="112"/>
      <c r="H52" s="112"/>
      <c r="I52" s="187">
        <v>26</v>
      </c>
    </row>
    <row r="53" spans="1:9" x14ac:dyDescent="0.25">
      <c r="A53">
        <v>27</v>
      </c>
      <c r="B53" s="209"/>
      <c r="C53" s="204"/>
      <c r="D53" s="204"/>
      <c r="E53" s="74"/>
      <c r="F53" s="74"/>
      <c r="G53" s="112"/>
      <c r="H53" s="112"/>
      <c r="I53" s="187">
        <v>27</v>
      </c>
    </row>
    <row r="54" spans="1:9" x14ac:dyDescent="0.25">
      <c r="A54">
        <v>28</v>
      </c>
      <c r="B54" s="209"/>
      <c r="C54" s="204"/>
      <c r="D54" s="204"/>
      <c r="E54" s="74"/>
      <c r="F54" s="74"/>
      <c r="G54" s="112"/>
      <c r="H54" s="112"/>
      <c r="I54" s="187">
        <v>28</v>
      </c>
    </row>
    <row r="55" spans="1:9" x14ac:dyDescent="0.25">
      <c r="A55">
        <v>29</v>
      </c>
      <c r="B55" s="209"/>
      <c r="C55" s="204"/>
      <c r="D55" s="204"/>
      <c r="E55" s="74"/>
      <c r="F55" s="74"/>
      <c r="G55" s="112"/>
      <c r="H55" s="112"/>
      <c r="I55" s="187">
        <v>29</v>
      </c>
    </row>
    <row r="56" spans="1:9" x14ac:dyDescent="0.25">
      <c r="A56">
        <v>30</v>
      </c>
      <c r="B56" s="209"/>
      <c r="C56" s="204"/>
      <c r="D56" s="204"/>
      <c r="E56" s="74"/>
      <c r="F56" s="74"/>
      <c r="G56" s="112"/>
      <c r="H56" s="112"/>
      <c r="I56" s="187">
        <v>30</v>
      </c>
    </row>
    <row r="57" spans="1:9" x14ac:dyDescent="0.25">
      <c r="A57">
        <v>31</v>
      </c>
      <c r="B57" s="209"/>
      <c r="C57" s="204"/>
      <c r="D57" s="204"/>
      <c r="E57" s="74"/>
      <c r="F57" s="74"/>
      <c r="G57" s="112"/>
      <c r="H57" s="112"/>
      <c r="I57" s="187">
        <v>31</v>
      </c>
    </row>
    <row r="58" spans="1:9" x14ac:dyDescent="0.25">
      <c r="A58">
        <v>32</v>
      </c>
      <c r="B58" s="209"/>
      <c r="C58" s="204"/>
      <c r="D58" s="204"/>
      <c r="E58" s="74"/>
      <c r="F58" s="74"/>
      <c r="G58" s="112"/>
      <c r="H58" s="112"/>
      <c r="I58" s="187">
        <v>32</v>
      </c>
    </row>
    <row r="59" spans="1:9" x14ac:dyDescent="0.25">
      <c r="A59">
        <v>33</v>
      </c>
      <c r="B59" s="209"/>
      <c r="C59" s="204"/>
      <c r="D59" s="204"/>
      <c r="E59" s="74"/>
      <c r="F59" s="74"/>
      <c r="G59" s="112"/>
      <c r="H59" s="112"/>
      <c r="I59" s="187">
        <v>33</v>
      </c>
    </row>
    <row r="60" spans="1:9" x14ac:dyDescent="0.25">
      <c r="A60">
        <v>34</v>
      </c>
      <c r="B60" s="209"/>
      <c r="C60" s="204"/>
      <c r="D60" s="204"/>
      <c r="E60" s="74"/>
      <c r="F60" s="74"/>
      <c r="G60" s="112"/>
      <c r="H60" s="112"/>
      <c r="I60" s="187">
        <v>34</v>
      </c>
    </row>
    <row r="61" spans="1:9" x14ac:dyDescent="0.25">
      <c r="A61">
        <v>35</v>
      </c>
      <c r="B61" s="209"/>
      <c r="C61" s="204"/>
      <c r="D61" s="204"/>
      <c r="E61" s="74"/>
      <c r="F61" s="74"/>
      <c r="G61" s="112"/>
      <c r="H61" s="112"/>
      <c r="I61" s="187">
        <v>35</v>
      </c>
    </row>
    <row r="62" spans="1:9" x14ac:dyDescent="0.25">
      <c r="A62">
        <v>36</v>
      </c>
      <c r="B62" s="209"/>
      <c r="C62" s="204"/>
      <c r="D62" s="204"/>
      <c r="E62" s="74"/>
      <c r="F62" s="74"/>
      <c r="G62" s="112"/>
      <c r="H62" s="112"/>
      <c r="I62" s="187">
        <v>36</v>
      </c>
    </row>
    <row r="63" spans="1:9" x14ac:dyDescent="0.25">
      <c r="A63">
        <v>37</v>
      </c>
      <c r="B63" s="209"/>
      <c r="C63" s="204"/>
      <c r="D63" s="204"/>
      <c r="E63" s="74"/>
      <c r="F63" s="74"/>
      <c r="G63" s="112"/>
      <c r="H63" s="112"/>
      <c r="I63" s="187">
        <v>37</v>
      </c>
    </row>
    <row r="64" spans="1:9" x14ac:dyDescent="0.25">
      <c r="A64">
        <v>38</v>
      </c>
      <c r="B64" s="209"/>
      <c r="C64" s="204"/>
      <c r="D64" s="204"/>
      <c r="E64" s="74"/>
      <c r="F64" s="74"/>
      <c r="G64" s="71"/>
      <c r="H64" s="112"/>
      <c r="I64" s="187">
        <v>38</v>
      </c>
    </row>
    <row r="65" spans="1:9" x14ac:dyDescent="0.25">
      <c r="A65">
        <v>39</v>
      </c>
      <c r="B65" s="209"/>
      <c r="C65" s="204"/>
      <c r="D65" s="204"/>
      <c r="E65" s="74"/>
      <c r="F65" s="74"/>
      <c r="G65" s="71"/>
      <c r="H65" s="112"/>
      <c r="I65" s="187">
        <v>39</v>
      </c>
    </row>
    <row r="66" spans="1:9" x14ac:dyDescent="0.25">
      <c r="A66">
        <v>40</v>
      </c>
      <c r="B66" s="209"/>
      <c r="C66" s="204"/>
      <c r="D66" s="204"/>
      <c r="E66" s="74"/>
      <c r="F66" s="74"/>
      <c r="G66" s="71"/>
      <c r="H66" s="112"/>
      <c r="I66" s="187">
        <v>40</v>
      </c>
    </row>
    <row r="67" spans="1:9" x14ac:dyDescent="0.25">
      <c r="A67">
        <v>41</v>
      </c>
      <c r="B67" s="209"/>
      <c r="C67" s="204"/>
      <c r="D67" s="204"/>
      <c r="E67" s="74"/>
      <c r="F67" s="74"/>
      <c r="G67" s="71"/>
      <c r="H67" s="112"/>
      <c r="I67" s="187">
        <v>41</v>
      </c>
    </row>
    <row r="68" spans="1:9" x14ac:dyDescent="0.25">
      <c r="A68">
        <v>42</v>
      </c>
      <c r="B68" s="209"/>
      <c r="C68" s="204"/>
      <c r="D68" s="204"/>
      <c r="E68" s="74"/>
      <c r="F68" s="74"/>
      <c r="G68" s="71"/>
      <c r="H68" s="112"/>
      <c r="I68" s="187">
        <v>42</v>
      </c>
    </row>
    <row r="69" spans="1:9" x14ac:dyDescent="0.25">
      <c r="A69">
        <v>43</v>
      </c>
      <c r="B69" s="209"/>
      <c r="C69" s="204"/>
      <c r="D69" s="204"/>
      <c r="E69" s="74"/>
      <c r="F69" s="74"/>
      <c r="G69" s="71"/>
      <c r="H69" s="112"/>
      <c r="I69" s="187">
        <v>43</v>
      </c>
    </row>
    <row r="70" spans="1:9" x14ac:dyDescent="0.25">
      <c r="A70">
        <v>44</v>
      </c>
      <c r="B70" s="209"/>
      <c r="C70" s="204"/>
      <c r="D70" s="204"/>
      <c r="E70" s="74"/>
      <c r="F70" s="74"/>
      <c r="G70" s="71"/>
      <c r="H70" s="84"/>
      <c r="I70" s="187">
        <v>44</v>
      </c>
    </row>
    <row r="71" spans="1:9" x14ac:dyDescent="0.25">
      <c r="A71">
        <v>45</v>
      </c>
      <c r="B71" s="209"/>
      <c r="C71" s="204"/>
      <c r="D71" s="204"/>
      <c r="E71" s="74"/>
      <c r="F71" s="74"/>
      <c r="G71" s="71"/>
      <c r="H71" s="84"/>
      <c r="I71" s="187">
        <v>45</v>
      </c>
    </row>
    <row r="72" spans="1:9" x14ac:dyDescent="0.25">
      <c r="A72">
        <v>46</v>
      </c>
      <c r="B72" s="209"/>
      <c r="C72" s="204"/>
      <c r="D72" s="204"/>
      <c r="E72" s="74"/>
      <c r="F72" s="74"/>
      <c r="G72" s="71"/>
      <c r="H72" s="84"/>
      <c r="I72" s="187">
        <v>46</v>
      </c>
    </row>
    <row r="73" spans="1:9" x14ac:dyDescent="0.25">
      <c r="A73">
        <v>47</v>
      </c>
      <c r="B73" s="209"/>
      <c r="C73" s="204"/>
      <c r="D73" s="204"/>
      <c r="E73" s="74"/>
      <c r="F73" s="74"/>
      <c r="G73" s="71"/>
      <c r="H73" s="84"/>
      <c r="I73" s="187">
        <v>47</v>
      </c>
    </row>
    <row r="74" spans="1:9" x14ac:dyDescent="0.25">
      <c r="A74">
        <v>48</v>
      </c>
      <c r="B74" s="209"/>
      <c r="C74" s="204"/>
      <c r="D74" s="204"/>
      <c r="E74" s="74"/>
      <c r="F74" s="74"/>
      <c r="G74" s="71"/>
      <c r="H74" s="84"/>
      <c r="I74" s="187">
        <v>48</v>
      </c>
    </row>
    <row r="75" spans="1:9" x14ac:dyDescent="0.25">
      <c r="A75">
        <v>49</v>
      </c>
      <c r="B75" s="209"/>
      <c r="C75" s="204"/>
      <c r="D75" s="204"/>
      <c r="E75" s="74"/>
      <c r="F75" s="74"/>
      <c r="G75" s="71"/>
      <c r="H75" s="84"/>
      <c r="I75" s="187">
        <v>49</v>
      </c>
    </row>
    <row r="76" spans="1:9" x14ac:dyDescent="0.25">
      <c r="A76">
        <v>50</v>
      </c>
      <c r="B76" s="209"/>
      <c r="C76" s="204"/>
      <c r="D76" s="204"/>
      <c r="E76" s="74"/>
      <c r="F76" s="74"/>
      <c r="G76" s="71"/>
      <c r="H76" s="84"/>
      <c r="I76" s="187">
        <v>50</v>
      </c>
    </row>
    <row r="77" spans="1:9" x14ac:dyDescent="0.25">
      <c r="A77">
        <v>51</v>
      </c>
      <c r="B77" s="209"/>
      <c r="C77" s="204"/>
      <c r="D77" s="204"/>
      <c r="E77" s="74"/>
      <c r="F77" s="74"/>
      <c r="G77" s="71"/>
      <c r="H77" s="84"/>
      <c r="I77" s="187">
        <v>51</v>
      </c>
    </row>
    <row r="78" spans="1:9" x14ac:dyDescent="0.25">
      <c r="A78">
        <v>52</v>
      </c>
      <c r="B78" s="209"/>
      <c r="C78" s="204"/>
      <c r="D78" s="204"/>
      <c r="E78" s="74"/>
      <c r="F78" s="74"/>
      <c r="G78" s="71"/>
      <c r="H78" s="84"/>
      <c r="I78" s="187">
        <v>52</v>
      </c>
    </row>
    <row r="79" spans="1:9" x14ac:dyDescent="0.25">
      <c r="A79">
        <v>53</v>
      </c>
      <c r="B79" s="209"/>
      <c r="C79" s="204"/>
      <c r="D79" s="204"/>
      <c r="E79" s="74"/>
      <c r="F79" s="74"/>
      <c r="G79" s="71"/>
      <c r="H79" s="84"/>
      <c r="I79" s="187">
        <v>53</v>
      </c>
    </row>
    <row r="80" spans="1:9" x14ac:dyDescent="0.25">
      <c r="A80">
        <v>54</v>
      </c>
      <c r="B80" s="209"/>
      <c r="C80" s="204"/>
      <c r="D80" s="204"/>
      <c r="E80" s="74"/>
      <c r="F80" s="74"/>
      <c r="G80" s="71"/>
      <c r="H80" s="84"/>
      <c r="I80" s="187">
        <v>54</v>
      </c>
    </row>
    <row r="81" spans="1:9" x14ac:dyDescent="0.25">
      <c r="A81">
        <v>55</v>
      </c>
      <c r="B81" s="209"/>
      <c r="C81" s="204"/>
      <c r="D81" s="204"/>
      <c r="E81" s="74"/>
      <c r="F81" s="74"/>
      <c r="G81" s="71"/>
      <c r="H81" s="84"/>
      <c r="I81" s="187">
        <v>55</v>
      </c>
    </row>
    <row r="82" spans="1:9" x14ac:dyDescent="0.25">
      <c r="A82">
        <v>56</v>
      </c>
      <c r="B82" s="209"/>
      <c r="C82" s="204"/>
      <c r="D82" s="204"/>
      <c r="E82" s="74"/>
      <c r="F82" s="74"/>
      <c r="G82" s="71"/>
      <c r="H82" s="84"/>
      <c r="I82" s="187">
        <v>56</v>
      </c>
    </row>
    <row r="83" spans="1:9" x14ac:dyDescent="0.25">
      <c r="A83">
        <v>57</v>
      </c>
      <c r="B83" s="209"/>
      <c r="C83" s="204"/>
      <c r="D83" s="204"/>
      <c r="E83" s="74"/>
      <c r="F83" s="74"/>
      <c r="G83" s="71"/>
      <c r="H83" s="84"/>
      <c r="I83" s="187">
        <v>57</v>
      </c>
    </row>
    <row r="84" spans="1:9" x14ac:dyDescent="0.25">
      <c r="A84">
        <v>58</v>
      </c>
      <c r="B84" s="209"/>
      <c r="C84" s="204"/>
      <c r="D84" s="204"/>
      <c r="E84" s="74"/>
      <c r="F84" s="74"/>
      <c r="G84" s="71"/>
      <c r="H84" s="84"/>
      <c r="I84" s="187">
        <v>58</v>
      </c>
    </row>
    <row r="85" spans="1:9" x14ac:dyDescent="0.25">
      <c r="A85">
        <v>59</v>
      </c>
      <c r="B85" s="209"/>
      <c r="C85" s="204"/>
      <c r="D85" s="204"/>
      <c r="E85" s="74"/>
      <c r="F85" s="74"/>
      <c r="G85" s="76"/>
      <c r="H85" s="84"/>
      <c r="I85" s="187">
        <v>59</v>
      </c>
    </row>
    <row r="86" spans="1:9" x14ac:dyDescent="0.25">
      <c r="A86">
        <v>60</v>
      </c>
      <c r="B86" s="209"/>
      <c r="C86" s="204"/>
      <c r="D86" s="204"/>
      <c r="E86" s="74"/>
      <c r="F86" s="74"/>
      <c r="G86" s="76"/>
      <c r="H86" s="84"/>
      <c r="I86" s="187">
        <v>60</v>
      </c>
    </row>
    <row r="87" spans="1:9" x14ac:dyDescent="0.25">
      <c r="A87">
        <v>61</v>
      </c>
      <c r="B87" s="209"/>
      <c r="C87" s="204"/>
      <c r="D87" s="204"/>
      <c r="E87" s="74"/>
      <c r="F87" s="74"/>
      <c r="G87" s="76"/>
      <c r="H87" s="85"/>
      <c r="I87" s="187">
        <v>61</v>
      </c>
    </row>
    <row r="88" spans="1:9" x14ac:dyDescent="0.25">
      <c r="A88">
        <v>62</v>
      </c>
      <c r="B88" s="209"/>
      <c r="C88" s="204"/>
      <c r="D88" s="204"/>
      <c r="E88" s="74"/>
      <c r="F88" s="74"/>
      <c r="G88" s="76"/>
      <c r="H88" s="84"/>
      <c r="I88" s="187">
        <v>62</v>
      </c>
    </row>
    <row r="89" spans="1:9" x14ac:dyDescent="0.25">
      <c r="A89">
        <v>63</v>
      </c>
      <c r="B89" s="209"/>
      <c r="C89" s="204"/>
      <c r="D89" s="204"/>
      <c r="E89" s="74"/>
      <c r="F89" s="74"/>
      <c r="G89" s="76"/>
      <c r="H89" s="84"/>
      <c r="I89" s="187">
        <v>63</v>
      </c>
    </row>
    <row r="90" spans="1:9" x14ac:dyDescent="0.25">
      <c r="A90">
        <v>64</v>
      </c>
      <c r="B90" s="209"/>
      <c r="C90" s="204"/>
      <c r="D90" s="204"/>
      <c r="E90" s="74"/>
      <c r="F90" s="74"/>
      <c r="G90" s="76"/>
      <c r="H90" s="84"/>
      <c r="I90" s="187">
        <v>64</v>
      </c>
    </row>
    <row r="91" spans="1:9" x14ac:dyDescent="0.25">
      <c r="A91">
        <v>65</v>
      </c>
      <c r="B91" s="209"/>
      <c r="C91" s="204"/>
      <c r="D91" s="204"/>
      <c r="E91" s="74"/>
      <c r="F91" s="74"/>
      <c r="G91" s="76"/>
      <c r="H91" s="84"/>
      <c r="I91" s="187">
        <v>65</v>
      </c>
    </row>
    <row r="92" spans="1:9" x14ac:dyDescent="0.25">
      <c r="A92">
        <v>66</v>
      </c>
      <c r="B92" s="209"/>
      <c r="C92" s="204"/>
      <c r="D92" s="204"/>
      <c r="E92" s="74"/>
      <c r="F92" s="74"/>
      <c r="G92" s="76"/>
      <c r="H92" s="84"/>
      <c r="I92" s="187">
        <v>66</v>
      </c>
    </row>
    <row r="93" spans="1:9" x14ac:dyDescent="0.25">
      <c r="A93">
        <v>67</v>
      </c>
      <c r="B93" s="209"/>
      <c r="C93" s="204"/>
      <c r="D93" s="204"/>
      <c r="E93" s="74"/>
      <c r="F93" s="74"/>
      <c r="G93" s="76"/>
      <c r="H93" s="84"/>
      <c r="I93" s="187">
        <v>67</v>
      </c>
    </row>
    <row r="94" spans="1:9" x14ac:dyDescent="0.25">
      <c r="A94">
        <v>68</v>
      </c>
      <c r="B94" s="209"/>
      <c r="C94" s="204"/>
      <c r="D94" s="204"/>
      <c r="E94" s="74"/>
      <c r="F94" s="74"/>
      <c r="G94" s="76"/>
      <c r="H94" s="85"/>
      <c r="I94" s="187">
        <v>68</v>
      </c>
    </row>
    <row r="95" spans="1:9" x14ac:dyDescent="0.25">
      <c r="A95">
        <v>69</v>
      </c>
      <c r="B95" s="209"/>
      <c r="C95" s="204"/>
      <c r="D95" s="204"/>
      <c r="E95" s="74"/>
      <c r="F95" s="74"/>
      <c r="G95" s="76"/>
      <c r="H95" s="85"/>
      <c r="I95" s="187">
        <v>69</v>
      </c>
    </row>
    <row r="96" spans="1:9" x14ac:dyDescent="0.25">
      <c r="A96">
        <v>70</v>
      </c>
      <c r="B96" s="209"/>
      <c r="C96" s="204"/>
      <c r="D96" s="204"/>
      <c r="E96" s="74"/>
      <c r="F96" s="74"/>
      <c r="G96" s="76"/>
      <c r="H96" s="85"/>
      <c r="I96" s="187">
        <v>70</v>
      </c>
    </row>
    <row r="97" spans="1:9" x14ac:dyDescent="0.25">
      <c r="A97">
        <v>71</v>
      </c>
      <c r="B97" s="209"/>
      <c r="C97" s="204"/>
      <c r="D97" s="204"/>
      <c r="E97" s="74"/>
      <c r="F97" s="74"/>
      <c r="G97" s="76"/>
      <c r="H97" s="85"/>
      <c r="I97" s="187">
        <v>71</v>
      </c>
    </row>
    <row r="98" spans="1:9" x14ac:dyDescent="0.25">
      <c r="A98">
        <v>72</v>
      </c>
      <c r="B98" s="209"/>
      <c r="C98" s="204"/>
      <c r="D98" s="204"/>
      <c r="E98" s="74"/>
      <c r="F98" s="74"/>
      <c r="G98" s="76"/>
      <c r="H98" s="85"/>
      <c r="I98" s="187">
        <v>72</v>
      </c>
    </row>
    <row r="99" spans="1:9" x14ac:dyDescent="0.25">
      <c r="A99">
        <v>73</v>
      </c>
      <c r="B99" s="209"/>
      <c r="C99" s="204"/>
      <c r="D99" s="204"/>
      <c r="E99" s="74"/>
      <c r="F99" s="74"/>
      <c r="G99" s="76"/>
      <c r="H99" s="85"/>
      <c r="I99" s="187">
        <v>73</v>
      </c>
    </row>
    <row r="100" spans="1:9" x14ac:dyDescent="0.25">
      <c r="A100">
        <v>74</v>
      </c>
      <c r="B100" s="209"/>
      <c r="C100" s="204"/>
      <c r="D100" s="204"/>
      <c r="E100" s="74"/>
      <c r="F100" s="74"/>
      <c r="G100" s="76"/>
      <c r="H100" s="85"/>
      <c r="I100" s="187">
        <v>74</v>
      </c>
    </row>
    <row r="101" spans="1:9" x14ac:dyDescent="0.25">
      <c r="A101">
        <v>75</v>
      </c>
      <c r="B101" s="210"/>
      <c r="C101" s="205"/>
      <c r="D101" s="205"/>
      <c r="E101" s="78"/>
      <c r="F101" s="78"/>
      <c r="G101" s="76"/>
      <c r="H101" s="85"/>
      <c r="I101" s="187">
        <v>75</v>
      </c>
    </row>
    <row r="102" spans="1:9" x14ac:dyDescent="0.25">
      <c r="A102">
        <v>76</v>
      </c>
      <c r="B102" s="210"/>
      <c r="C102" s="205"/>
      <c r="D102" s="205"/>
      <c r="E102" s="78"/>
      <c r="F102" s="78"/>
      <c r="G102" s="76"/>
      <c r="H102" s="85"/>
      <c r="I102" s="187">
        <v>76</v>
      </c>
    </row>
    <row r="103" spans="1:9" x14ac:dyDescent="0.25">
      <c r="A103">
        <v>77</v>
      </c>
      <c r="B103" s="210"/>
      <c r="C103" s="205"/>
      <c r="D103" s="205"/>
      <c r="E103" s="78"/>
      <c r="F103" s="78"/>
      <c r="G103" s="76"/>
      <c r="H103" s="85"/>
      <c r="I103" s="187">
        <v>77</v>
      </c>
    </row>
    <row r="104" spans="1:9" x14ac:dyDescent="0.25">
      <c r="A104">
        <v>78</v>
      </c>
      <c r="B104" s="210"/>
      <c r="C104" s="205"/>
      <c r="D104" s="205"/>
      <c r="E104" s="78"/>
      <c r="F104" s="78"/>
      <c r="G104" s="76"/>
      <c r="H104" s="85"/>
      <c r="I104" s="187">
        <v>78</v>
      </c>
    </row>
    <row r="105" spans="1:9" x14ac:dyDescent="0.25">
      <c r="A105">
        <v>79</v>
      </c>
      <c r="B105" s="210"/>
      <c r="C105" s="205"/>
      <c r="D105" s="205"/>
      <c r="E105" s="78"/>
      <c r="F105" s="78"/>
      <c r="G105" s="76"/>
      <c r="H105" s="85"/>
      <c r="I105" s="187">
        <v>79</v>
      </c>
    </row>
    <row r="106" spans="1:9" x14ac:dyDescent="0.25">
      <c r="A106">
        <v>80</v>
      </c>
      <c r="B106" s="210"/>
      <c r="C106" s="205"/>
      <c r="D106" s="205"/>
      <c r="E106" s="78"/>
      <c r="F106" s="78"/>
      <c r="G106" s="76"/>
      <c r="H106" s="85"/>
      <c r="I106" s="187">
        <v>80</v>
      </c>
    </row>
    <row r="107" spans="1:9" x14ac:dyDescent="0.25">
      <c r="A107">
        <v>81</v>
      </c>
      <c r="B107" s="210"/>
      <c r="C107" s="205"/>
      <c r="D107" s="205"/>
      <c r="E107" s="78"/>
      <c r="F107" s="78"/>
      <c r="G107" s="76"/>
      <c r="H107" s="85"/>
      <c r="I107" s="187">
        <v>81</v>
      </c>
    </row>
    <row r="108" spans="1:9" x14ac:dyDescent="0.25">
      <c r="A108">
        <v>82</v>
      </c>
      <c r="B108" s="211"/>
      <c r="C108" s="206"/>
      <c r="D108" s="206"/>
      <c r="E108" s="78"/>
      <c r="F108" s="78"/>
      <c r="G108" s="76"/>
      <c r="H108" s="85"/>
      <c r="I108" s="187">
        <v>82</v>
      </c>
    </row>
    <row r="109" spans="1:9" x14ac:dyDescent="0.25">
      <c r="A109">
        <v>83</v>
      </c>
      <c r="B109" s="211"/>
      <c r="C109" s="206"/>
      <c r="D109" s="206"/>
      <c r="E109" s="78"/>
      <c r="F109" s="78"/>
      <c r="G109" s="76"/>
      <c r="H109" s="85"/>
      <c r="I109" s="187">
        <v>83</v>
      </c>
    </row>
    <row r="110" spans="1:9" x14ac:dyDescent="0.25">
      <c r="A110">
        <v>84</v>
      </c>
      <c r="B110" s="210"/>
      <c r="C110" s="205"/>
      <c r="D110" s="205"/>
      <c r="E110" s="78"/>
      <c r="F110" s="78"/>
      <c r="G110" s="76"/>
      <c r="H110" s="85"/>
      <c r="I110" s="187">
        <v>84</v>
      </c>
    </row>
    <row r="111" spans="1:9" x14ac:dyDescent="0.25">
      <c r="A111">
        <v>85</v>
      </c>
      <c r="B111" s="210"/>
      <c r="C111" s="205"/>
      <c r="D111" s="205"/>
      <c r="E111" s="78"/>
      <c r="F111" s="78"/>
      <c r="G111" s="76"/>
      <c r="H111" s="85"/>
      <c r="I111" s="187">
        <v>85</v>
      </c>
    </row>
    <row r="112" spans="1:9" x14ac:dyDescent="0.25">
      <c r="A112">
        <v>86</v>
      </c>
      <c r="B112" s="210"/>
      <c r="C112" s="205"/>
      <c r="D112" s="205"/>
      <c r="E112" s="78"/>
      <c r="F112" s="78"/>
      <c r="G112" s="76"/>
      <c r="H112" s="85"/>
      <c r="I112" s="187">
        <v>86</v>
      </c>
    </row>
    <row r="113" spans="1:9" x14ac:dyDescent="0.25">
      <c r="A113">
        <v>87</v>
      </c>
      <c r="B113" s="210"/>
      <c r="C113" s="205"/>
      <c r="D113" s="205"/>
      <c r="E113" s="78"/>
      <c r="F113" s="78"/>
      <c r="G113" s="76"/>
      <c r="H113" s="85"/>
      <c r="I113" s="187">
        <v>87</v>
      </c>
    </row>
    <row r="114" spans="1:9" x14ac:dyDescent="0.25">
      <c r="A114">
        <v>88</v>
      </c>
      <c r="B114" s="210"/>
      <c r="C114" s="205"/>
      <c r="D114" s="205"/>
      <c r="E114" s="78"/>
      <c r="F114" s="78"/>
      <c r="G114" s="76"/>
      <c r="H114" s="85"/>
      <c r="I114" s="187">
        <v>88</v>
      </c>
    </row>
    <row r="115" spans="1:9" x14ac:dyDescent="0.25">
      <c r="A115">
        <v>89</v>
      </c>
      <c r="B115" s="210"/>
      <c r="C115" s="205"/>
      <c r="D115" s="205"/>
      <c r="E115" s="78"/>
      <c r="F115" s="78"/>
      <c r="G115" s="76"/>
      <c r="H115" s="85"/>
      <c r="I115" s="187">
        <v>89</v>
      </c>
    </row>
    <row r="116" spans="1:9" x14ac:dyDescent="0.25">
      <c r="A116">
        <v>90</v>
      </c>
      <c r="B116" s="210"/>
      <c r="C116" s="205"/>
      <c r="D116" s="205"/>
      <c r="E116" s="78"/>
      <c r="F116" s="78"/>
      <c r="G116" s="76"/>
      <c r="H116" s="85"/>
      <c r="I116" s="187">
        <v>90</v>
      </c>
    </row>
    <row r="117" spans="1:9" x14ac:dyDescent="0.25">
      <c r="A117">
        <v>91</v>
      </c>
      <c r="B117" s="210"/>
      <c r="C117" s="205"/>
      <c r="D117" s="205"/>
      <c r="E117" s="78"/>
      <c r="F117" s="78"/>
      <c r="G117" s="76"/>
      <c r="H117" s="85"/>
      <c r="I117" s="187">
        <v>91</v>
      </c>
    </row>
    <row r="118" spans="1:9" x14ac:dyDescent="0.25">
      <c r="A118">
        <v>92</v>
      </c>
      <c r="B118" s="210"/>
      <c r="C118" s="205"/>
      <c r="D118" s="205"/>
      <c r="E118" s="78"/>
      <c r="F118" s="78"/>
      <c r="G118" s="76"/>
      <c r="H118" s="85"/>
      <c r="I118" s="187">
        <v>92</v>
      </c>
    </row>
    <row r="119" spans="1:9" x14ac:dyDescent="0.25">
      <c r="A119">
        <v>93</v>
      </c>
      <c r="B119" s="210"/>
      <c r="C119" s="205"/>
      <c r="D119" s="205"/>
      <c r="E119" s="78"/>
      <c r="F119" s="78"/>
      <c r="G119" s="76"/>
      <c r="H119" s="85"/>
      <c r="I119" s="187">
        <v>93</v>
      </c>
    </row>
    <row r="120" spans="1:9" x14ac:dyDescent="0.25">
      <c r="A120">
        <v>94</v>
      </c>
      <c r="B120" s="210"/>
      <c r="C120" s="205"/>
      <c r="D120" s="205"/>
      <c r="E120" s="78"/>
      <c r="F120" s="78"/>
      <c r="G120" s="76"/>
      <c r="H120" s="85"/>
      <c r="I120" s="187">
        <v>94</v>
      </c>
    </row>
    <row r="121" spans="1:9" x14ac:dyDescent="0.25">
      <c r="A121">
        <v>95</v>
      </c>
      <c r="B121" s="210"/>
      <c r="C121" s="205"/>
      <c r="D121" s="205"/>
      <c r="E121" s="78"/>
      <c r="F121" s="78"/>
      <c r="G121" s="76"/>
      <c r="H121" s="85"/>
      <c r="I121" s="187">
        <v>95</v>
      </c>
    </row>
    <row r="122" spans="1:9" x14ac:dyDescent="0.25">
      <c r="A122">
        <v>96</v>
      </c>
      <c r="B122" s="210"/>
      <c r="C122" s="205"/>
      <c r="D122" s="205"/>
      <c r="E122" s="78"/>
      <c r="F122" s="78"/>
      <c r="G122" s="76"/>
      <c r="H122" s="85"/>
      <c r="I122" s="187">
        <v>96</v>
      </c>
    </row>
    <row r="123" spans="1:9" x14ac:dyDescent="0.25">
      <c r="A123">
        <v>97</v>
      </c>
      <c r="B123" s="210"/>
      <c r="C123" s="205"/>
      <c r="D123" s="205"/>
      <c r="E123" s="78"/>
      <c r="F123" s="78"/>
      <c r="G123" s="76"/>
      <c r="H123" s="85"/>
      <c r="I123" s="187">
        <v>97</v>
      </c>
    </row>
    <row r="124" spans="1:9" x14ac:dyDescent="0.25">
      <c r="A124">
        <v>98</v>
      </c>
      <c r="B124" s="210"/>
      <c r="C124" s="205"/>
      <c r="D124" s="205"/>
      <c r="E124" s="78"/>
      <c r="F124" s="78"/>
      <c r="G124" s="76"/>
      <c r="H124" s="85"/>
      <c r="I124" s="187">
        <v>98</v>
      </c>
    </row>
    <row r="125" spans="1:9" x14ac:dyDescent="0.25">
      <c r="A125">
        <v>99</v>
      </c>
      <c r="B125" s="75"/>
      <c r="C125" s="207"/>
      <c r="D125" s="207"/>
      <c r="E125" s="78"/>
      <c r="F125" s="78"/>
      <c r="G125" s="76"/>
      <c r="H125" s="85"/>
      <c r="I125" s="187">
        <v>99</v>
      </c>
    </row>
    <row r="126" spans="1:9" x14ac:dyDescent="0.25">
      <c r="A126">
        <v>100</v>
      </c>
      <c r="B126" s="75"/>
      <c r="C126" s="207"/>
      <c r="D126" s="207"/>
      <c r="E126" s="78"/>
      <c r="F126" s="78"/>
      <c r="G126" s="76"/>
      <c r="H126" s="85"/>
      <c r="I126" s="187">
        <v>100</v>
      </c>
    </row>
    <row r="127" spans="1:9" x14ac:dyDescent="0.25">
      <c r="A127">
        <v>101</v>
      </c>
      <c r="B127" s="75"/>
      <c r="C127" s="207"/>
      <c r="D127" s="207"/>
      <c r="E127" s="78"/>
      <c r="F127" s="78"/>
      <c r="G127" s="76"/>
      <c r="H127" s="84"/>
      <c r="I127" s="187">
        <v>101</v>
      </c>
    </row>
    <row r="128" spans="1:9" x14ac:dyDescent="0.25">
      <c r="A128">
        <v>102</v>
      </c>
      <c r="B128" s="75"/>
      <c r="C128" s="207"/>
      <c r="D128" s="207"/>
      <c r="E128" s="78"/>
      <c r="F128" s="78"/>
      <c r="G128" s="76"/>
      <c r="H128" s="85"/>
      <c r="I128" s="187">
        <v>102</v>
      </c>
    </row>
    <row r="129" spans="1:9" x14ac:dyDescent="0.25">
      <c r="A129">
        <v>103</v>
      </c>
      <c r="B129" s="75"/>
      <c r="C129" s="207"/>
      <c r="D129" s="207"/>
      <c r="E129" s="78"/>
      <c r="F129" s="78"/>
      <c r="G129" s="76"/>
      <c r="H129" s="85"/>
      <c r="I129" s="187">
        <v>103</v>
      </c>
    </row>
    <row r="130" spans="1:9" x14ac:dyDescent="0.25">
      <c r="A130">
        <v>104</v>
      </c>
      <c r="B130" s="75"/>
      <c r="C130" s="207"/>
      <c r="D130" s="207"/>
      <c r="E130" s="78"/>
      <c r="F130" s="78"/>
      <c r="G130" s="76"/>
      <c r="H130" s="84"/>
      <c r="I130" s="187">
        <v>104</v>
      </c>
    </row>
    <row r="131" spans="1:9" x14ac:dyDescent="0.25">
      <c r="A131">
        <v>105</v>
      </c>
      <c r="B131" s="75"/>
      <c r="C131" s="207"/>
      <c r="D131" s="207"/>
      <c r="E131" s="78"/>
      <c r="F131" s="78"/>
      <c r="G131" s="76"/>
      <c r="H131" s="84"/>
      <c r="I131" s="187">
        <v>105</v>
      </c>
    </row>
    <row r="132" spans="1:9" x14ac:dyDescent="0.25">
      <c r="A132">
        <v>106</v>
      </c>
      <c r="B132" s="75"/>
      <c r="C132" s="207"/>
      <c r="D132" s="207"/>
      <c r="E132" s="78"/>
      <c r="F132" s="78"/>
      <c r="G132" s="76"/>
      <c r="H132" s="84"/>
      <c r="I132" s="187">
        <v>106</v>
      </c>
    </row>
    <row r="133" spans="1:9" x14ac:dyDescent="0.25">
      <c r="A133">
        <v>107</v>
      </c>
      <c r="B133" s="75"/>
      <c r="C133" s="207"/>
      <c r="D133" s="207"/>
      <c r="E133" s="78"/>
      <c r="F133" s="78"/>
      <c r="G133" s="76"/>
      <c r="H133" s="84"/>
      <c r="I133" s="187">
        <v>107</v>
      </c>
    </row>
    <row r="134" spans="1:9" x14ac:dyDescent="0.25">
      <c r="A134">
        <v>108</v>
      </c>
      <c r="B134" s="75"/>
      <c r="C134" s="207"/>
      <c r="D134" s="207"/>
      <c r="E134" s="78"/>
      <c r="F134" s="78"/>
      <c r="G134" s="76"/>
      <c r="H134" s="84"/>
      <c r="I134" s="187">
        <v>108</v>
      </c>
    </row>
    <row r="135" spans="1:9" x14ac:dyDescent="0.25">
      <c r="A135">
        <v>109</v>
      </c>
      <c r="B135" s="75"/>
      <c r="C135" s="207"/>
      <c r="D135" s="207"/>
      <c r="E135" s="78"/>
      <c r="F135" s="78"/>
      <c r="G135" s="76"/>
      <c r="H135" s="84"/>
      <c r="I135" s="187">
        <v>109</v>
      </c>
    </row>
    <row r="136" spans="1:9" x14ac:dyDescent="0.25">
      <c r="A136">
        <v>110</v>
      </c>
      <c r="B136" s="75"/>
      <c r="C136" s="207"/>
      <c r="D136" s="207"/>
      <c r="E136" s="78"/>
      <c r="F136" s="78"/>
      <c r="G136" s="76"/>
      <c r="H136" s="84"/>
      <c r="I136" s="187">
        <v>110</v>
      </c>
    </row>
    <row r="137" spans="1:9" x14ac:dyDescent="0.25">
      <c r="A137">
        <v>111</v>
      </c>
      <c r="B137" s="75"/>
      <c r="C137" s="207"/>
      <c r="D137" s="207"/>
      <c r="E137" s="78"/>
      <c r="F137" s="78"/>
      <c r="G137" s="76"/>
      <c r="H137" s="84"/>
      <c r="I137" s="187">
        <v>111</v>
      </c>
    </row>
    <row r="138" spans="1:9" x14ac:dyDescent="0.25">
      <c r="A138">
        <v>112</v>
      </c>
      <c r="B138" s="75"/>
      <c r="C138" s="207"/>
      <c r="D138" s="207"/>
      <c r="E138" s="78"/>
      <c r="F138" s="78"/>
      <c r="G138" s="76"/>
      <c r="H138" s="84"/>
      <c r="I138" s="187">
        <v>112</v>
      </c>
    </row>
    <row r="139" spans="1:9" x14ac:dyDescent="0.25">
      <c r="A139">
        <v>113</v>
      </c>
      <c r="B139" s="75"/>
      <c r="C139" s="207"/>
      <c r="D139" s="207"/>
      <c r="E139" s="78"/>
      <c r="F139" s="78"/>
      <c r="G139" s="76"/>
      <c r="H139" s="85"/>
      <c r="I139" s="187">
        <v>113</v>
      </c>
    </row>
    <row r="140" spans="1:9" x14ac:dyDescent="0.25">
      <c r="A140">
        <v>114</v>
      </c>
      <c r="B140" s="75"/>
      <c r="C140" s="207"/>
      <c r="D140" s="207"/>
      <c r="E140" s="78"/>
      <c r="F140" s="78"/>
      <c r="G140" s="76"/>
      <c r="H140" s="85"/>
      <c r="I140" s="187">
        <v>114</v>
      </c>
    </row>
    <row r="141" spans="1:9" x14ac:dyDescent="0.25">
      <c r="A141">
        <v>115</v>
      </c>
      <c r="B141" s="75"/>
      <c r="C141" s="207"/>
      <c r="D141" s="207"/>
      <c r="E141" s="78"/>
      <c r="F141" s="78"/>
      <c r="G141" s="76"/>
      <c r="H141" s="85"/>
      <c r="I141" s="187">
        <v>115</v>
      </c>
    </row>
    <row r="142" spans="1:9" x14ac:dyDescent="0.25">
      <c r="A142">
        <v>116</v>
      </c>
      <c r="B142" s="75"/>
      <c r="C142" s="207"/>
      <c r="D142" s="207"/>
      <c r="E142" s="78"/>
      <c r="F142" s="78"/>
      <c r="G142" s="76"/>
      <c r="H142" s="85"/>
      <c r="I142" s="187">
        <v>116</v>
      </c>
    </row>
    <row r="143" spans="1:9" x14ac:dyDescent="0.25">
      <c r="A143">
        <v>117</v>
      </c>
      <c r="B143" s="75"/>
      <c r="C143" s="207"/>
      <c r="D143" s="207"/>
      <c r="E143" s="78"/>
      <c r="F143" s="78"/>
      <c r="G143" s="76"/>
      <c r="H143" s="85"/>
      <c r="I143" s="187">
        <v>117</v>
      </c>
    </row>
    <row r="144" spans="1:9" x14ac:dyDescent="0.25">
      <c r="A144">
        <v>118</v>
      </c>
      <c r="B144" s="75"/>
      <c r="C144" s="207"/>
      <c r="D144" s="207"/>
      <c r="E144" s="78"/>
      <c r="F144" s="78"/>
      <c r="G144" s="76"/>
      <c r="H144" s="85"/>
      <c r="I144" s="187">
        <v>118</v>
      </c>
    </row>
    <row r="145" spans="1:9" x14ac:dyDescent="0.25">
      <c r="A145">
        <v>119</v>
      </c>
      <c r="B145" s="75"/>
      <c r="C145" s="207"/>
      <c r="D145" s="207"/>
      <c r="E145" s="78"/>
      <c r="F145" s="78"/>
      <c r="G145" s="76"/>
      <c r="H145" s="85"/>
      <c r="I145" s="187">
        <v>119</v>
      </c>
    </row>
    <row r="146" spans="1:9" x14ac:dyDescent="0.25">
      <c r="A146">
        <v>120</v>
      </c>
      <c r="B146" s="75"/>
      <c r="C146" s="207"/>
      <c r="D146" s="207"/>
      <c r="E146" s="78"/>
      <c r="F146" s="78"/>
      <c r="G146" s="76"/>
      <c r="H146" s="85"/>
      <c r="I146" s="187">
        <v>120</v>
      </c>
    </row>
    <row r="147" spans="1:9" x14ac:dyDescent="0.25">
      <c r="A147">
        <v>121</v>
      </c>
      <c r="B147" s="75"/>
      <c r="C147" s="207"/>
      <c r="D147" s="207"/>
      <c r="E147" s="78"/>
      <c r="F147" s="78"/>
      <c r="G147" s="76"/>
      <c r="H147" s="85"/>
      <c r="I147" s="187">
        <v>121</v>
      </c>
    </row>
    <row r="148" spans="1:9" x14ac:dyDescent="0.25">
      <c r="A148">
        <v>122</v>
      </c>
      <c r="B148" s="75"/>
      <c r="C148" s="207"/>
      <c r="D148" s="207"/>
      <c r="E148" s="78"/>
      <c r="F148" s="78"/>
      <c r="G148" s="76"/>
      <c r="H148" s="85"/>
      <c r="I148" s="187">
        <v>122</v>
      </c>
    </row>
    <row r="149" spans="1:9" x14ac:dyDescent="0.25">
      <c r="A149">
        <v>123</v>
      </c>
      <c r="B149" s="75"/>
      <c r="C149" s="207"/>
      <c r="D149" s="207"/>
      <c r="E149" s="78"/>
      <c r="F149" s="78"/>
      <c r="G149" s="76"/>
      <c r="H149" s="85"/>
      <c r="I149" s="187">
        <v>123</v>
      </c>
    </row>
    <row r="150" spans="1:9" x14ac:dyDescent="0.25">
      <c r="A150">
        <v>124</v>
      </c>
      <c r="B150" s="75"/>
      <c r="C150" s="207"/>
      <c r="D150" s="207"/>
      <c r="E150" s="78"/>
      <c r="F150" s="78"/>
      <c r="G150" s="76"/>
      <c r="H150" s="85"/>
      <c r="I150" s="187">
        <v>124</v>
      </c>
    </row>
    <row r="151" spans="1:9" x14ac:dyDescent="0.25">
      <c r="A151">
        <v>125</v>
      </c>
      <c r="B151" s="75"/>
      <c r="C151" s="207"/>
      <c r="D151" s="207"/>
      <c r="E151" s="78"/>
      <c r="F151" s="78"/>
      <c r="G151" s="76"/>
      <c r="H151" s="85"/>
      <c r="I151" s="187">
        <v>125</v>
      </c>
    </row>
    <row r="152" spans="1:9" x14ac:dyDescent="0.25">
      <c r="A152">
        <v>126</v>
      </c>
      <c r="B152" s="75"/>
      <c r="C152" s="207"/>
      <c r="D152" s="207"/>
      <c r="E152" s="78"/>
      <c r="F152" s="78"/>
      <c r="G152" s="76"/>
      <c r="H152" s="85"/>
      <c r="I152" s="187">
        <v>126</v>
      </c>
    </row>
    <row r="153" spans="1:9" x14ac:dyDescent="0.25">
      <c r="A153">
        <v>127</v>
      </c>
      <c r="B153" s="75"/>
      <c r="C153" s="207"/>
      <c r="D153" s="207"/>
      <c r="E153" s="78"/>
      <c r="F153" s="78"/>
      <c r="G153" s="76"/>
      <c r="H153" s="85"/>
      <c r="I153" s="187">
        <v>127</v>
      </c>
    </row>
    <row r="154" spans="1:9" x14ac:dyDescent="0.25">
      <c r="A154">
        <v>128</v>
      </c>
      <c r="B154" s="75"/>
      <c r="C154" s="207"/>
      <c r="D154" s="207"/>
      <c r="E154" s="78"/>
      <c r="F154" s="78"/>
      <c r="G154" s="76"/>
      <c r="H154" s="85"/>
      <c r="I154" s="187">
        <v>128</v>
      </c>
    </row>
    <row r="155" spans="1:9" x14ac:dyDescent="0.25">
      <c r="A155">
        <v>129</v>
      </c>
      <c r="B155" s="75"/>
      <c r="C155" s="207"/>
      <c r="D155" s="207"/>
      <c r="E155" s="78"/>
      <c r="F155" s="78"/>
      <c r="G155" s="76"/>
      <c r="H155" s="85"/>
      <c r="I155" s="187">
        <v>129</v>
      </c>
    </row>
    <row r="156" spans="1:9" x14ac:dyDescent="0.25">
      <c r="A156">
        <v>130</v>
      </c>
      <c r="B156" s="75"/>
      <c r="C156" s="207"/>
      <c r="D156" s="207"/>
      <c r="E156" s="78"/>
      <c r="F156" s="78"/>
      <c r="G156" s="76"/>
      <c r="H156" s="85"/>
      <c r="I156" s="187">
        <v>130</v>
      </c>
    </row>
    <row r="157" spans="1:9" x14ac:dyDescent="0.25">
      <c r="A157">
        <v>131</v>
      </c>
      <c r="B157" s="75"/>
      <c r="C157" s="207"/>
      <c r="D157" s="207"/>
      <c r="E157" s="78"/>
      <c r="F157" s="78"/>
      <c r="G157" s="76"/>
      <c r="H157" s="85"/>
      <c r="I157" s="187">
        <v>131</v>
      </c>
    </row>
    <row r="158" spans="1:9" x14ac:dyDescent="0.25">
      <c r="A158">
        <v>132</v>
      </c>
      <c r="B158" s="75"/>
      <c r="C158" s="207"/>
      <c r="D158" s="207"/>
      <c r="E158" s="78"/>
      <c r="F158" s="78"/>
      <c r="G158" s="76"/>
      <c r="H158" s="85"/>
      <c r="I158" s="187">
        <v>132</v>
      </c>
    </row>
    <row r="159" spans="1:9" x14ac:dyDescent="0.25">
      <c r="A159">
        <v>133</v>
      </c>
      <c r="B159" s="75"/>
      <c r="C159" s="207"/>
      <c r="D159" s="207"/>
      <c r="E159" s="78"/>
      <c r="F159" s="78"/>
      <c r="G159" s="76"/>
      <c r="H159" s="85"/>
      <c r="I159" s="187">
        <v>133</v>
      </c>
    </row>
    <row r="160" spans="1:9" x14ac:dyDescent="0.25">
      <c r="A160">
        <v>134</v>
      </c>
      <c r="B160" s="75"/>
      <c r="C160" s="207"/>
      <c r="D160" s="207"/>
      <c r="E160" s="78"/>
      <c r="F160" s="78"/>
      <c r="G160" s="76"/>
      <c r="H160" s="85"/>
      <c r="I160" s="187">
        <v>134</v>
      </c>
    </row>
    <row r="161" spans="1:9" x14ac:dyDescent="0.25">
      <c r="A161">
        <v>135</v>
      </c>
      <c r="B161" s="75"/>
      <c r="C161" s="207"/>
      <c r="D161" s="207"/>
      <c r="E161" s="78"/>
      <c r="F161" s="78"/>
      <c r="G161" s="76"/>
      <c r="H161" s="85"/>
      <c r="I161" s="187">
        <v>135</v>
      </c>
    </row>
    <row r="162" spans="1:9" x14ac:dyDescent="0.25">
      <c r="A162">
        <v>136</v>
      </c>
      <c r="B162" s="75"/>
      <c r="C162" s="207"/>
      <c r="D162" s="207"/>
      <c r="E162" s="78"/>
      <c r="F162" s="78"/>
      <c r="G162" s="76"/>
      <c r="H162" s="85"/>
      <c r="I162" s="187">
        <v>136</v>
      </c>
    </row>
    <row r="163" spans="1:9" x14ac:dyDescent="0.25">
      <c r="A163">
        <v>137</v>
      </c>
      <c r="B163" s="75"/>
      <c r="C163" s="207"/>
      <c r="D163" s="207"/>
      <c r="E163" s="78"/>
      <c r="F163" s="78"/>
      <c r="G163" s="76"/>
      <c r="H163" s="85"/>
      <c r="I163" s="187">
        <v>137</v>
      </c>
    </row>
    <row r="164" spans="1:9" x14ac:dyDescent="0.25">
      <c r="A164">
        <v>138</v>
      </c>
      <c r="B164" s="75"/>
      <c r="C164" s="207"/>
      <c r="D164" s="207"/>
      <c r="E164" s="78"/>
      <c r="F164" s="78"/>
      <c r="G164" s="76"/>
      <c r="H164" s="85"/>
      <c r="I164" s="187">
        <v>138</v>
      </c>
    </row>
    <row r="165" spans="1:9" x14ac:dyDescent="0.25">
      <c r="A165">
        <v>139</v>
      </c>
      <c r="B165" s="75"/>
      <c r="C165" s="207"/>
      <c r="D165" s="207"/>
      <c r="E165" s="78"/>
      <c r="F165" s="78"/>
      <c r="G165" s="76"/>
      <c r="H165" s="85"/>
      <c r="I165" s="187">
        <v>139</v>
      </c>
    </row>
    <row r="166" spans="1:9" x14ac:dyDescent="0.25">
      <c r="A166">
        <v>140</v>
      </c>
      <c r="B166" s="75"/>
      <c r="C166" s="207"/>
      <c r="D166" s="207"/>
      <c r="E166" s="78"/>
      <c r="F166" s="78"/>
      <c r="G166" s="76"/>
      <c r="H166" s="85"/>
      <c r="I166" s="187">
        <v>140</v>
      </c>
    </row>
    <row r="167" spans="1:9" x14ac:dyDescent="0.25">
      <c r="A167">
        <v>141</v>
      </c>
      <c r="B167" s="75"/>
      <c r="C167" s="207"/>
      <c r="D167" s="207"/>
      <c r="E167" s="78"/>
      <c r="F167" s="78"/>
      <c r="G167" s="76"/>
      <c r="H167" s="85"/>
      <c r="I167" s="187">
        <v>141</v>
      </c>
    </row>
    <row r="168" spans="1:9" x14ac:dyDescent="0.25">
      <c r="A168">
        <v>142</v>
      </c>
      <c r="B168" s="75"/>
      <c r="C168" s="207"/>
      <c r="D168" s="207"/>
      <c r="E168" s="78"/>
      <c r="F168" s="78"/>
      <c r="G168" s="76"/>
      <c r="H168" s="85"/>
      <c r="I168" s="187">
        <v>142</v>
      </c>
    </row>
    <row r="169" spans="1:9" x14ac:dyDescent="0.25">
      <c r="A169">
        <v>143</v>
      </c>
      <c r="B169" s="75"/>
      <c r="C169" s="207"/>
      <c r="D169" s="207"/>
      <c r="E169" s="78"/>
      <c r="F169" s="78"/>
      <c r="G169" s="76"/>
      <c r="H169" s="85"/>
      <c r="I169" s="187">
        <v>143</v>
      </c>
    </row>
    <row r="170" spans="1:9" x14ac:dyDescent="0.25">
      <c r="A170">
        <v>144</v>
      </c>
      <c r="B170" s="75"/>
      <c r="C170" s="207"/>
      <c r="D170" s="207"/>
      <c r="E170" s="78"/>
      <c r="F170" s="78"/>
      <c r="G170" s="76"/>
      <c r="H170" s="85"/>
      <c r="I170" s="187">
        <v>144</v>
      </c>
    </row>
    <row r="171" spans="1:9" x14ac:dyDescent="0.25">
      <c r="A171">
        <v>145</v>
      </c>
      <c r="B171" s="75"/>
      <c r="C171" s="207"/>
      <c r="D171" s="207"/>
      <c r="E171" s="78"/>
      <c r="F171" s="78"/>
      <c r="G171" s="76"/>
      <c r="H171" s="85"/>
      <c r="I171" s="187">
        <v>145</v>
      </c>
    </row>
    <row r="172" spans="1:9" x14ac:dyDescent="0.25">
      <c r="A172">
        <v>146</v>
      </c>
      <c r="B172" s="75"/>
      <c r="C172" s="207"/>
      <c r="D172" s="207"/>
      <c r="E172" s="78"/>
      <c r="F172" s="78"/>
      <c r="G172" s="76"/>
      <c r="H172" s="85"/>
      <c r="I172" s="187">
        <v>146</v>
      </c>
    </row>
    <row r="173" spans="1:9" x14ac:dyDescent="0.25">
      <c r="A173">
        <v>147</v>
      </c>
      <c r="B173" s="75"/>
      <c r="C173" s="207"/>
      <c r="D173" s="207"/>
      <c r="E173" s="78"/>
      <c r="F173" s="78"/>
      <c r="G173" s="76"/>
      <c r="H173" s="85"/>
      <c r="I173" s="187">
        <v>147</v>
      </c>
    </row>
    <row r="174" spans="1:9" x14ac:dyDescent="0.25">
      <c r="A174">
        <v>148</v>
      </c>
      <c r="B174" s="75"/>
      <c r="C174" s="207"/>
      <c r="D174" s="207"/>
      <c r="E174" s="78"/>
      <c r="F174" s="78"/>
      <c r="G174" s="76"/>
      <c r="H174" s="85"/>
      <c r="I174" s="187">
        <v>148</v>
      </c>
    </row>
    <row r="175" spans="1:9" x14ac:dyDescent="0.25">
      <c r="A175">
        <v>149</v>
      </c>
      <c r="B175" s="75"/>
      <c r="C175" s="207"/>
      <c r="D175" s="207"/>
      <c r="E175" s="78"/>
      <c r="F175" s="78"/>
      <c r="G175" s="76"/>
      <c r="H175" s="85"/>
      <c r="I175" s="187">
        <v>149</v>
      </c>
    </row>
    <row r="176" spans="1:9" x14ac:dyDescent="0.25">
      <c r="A176">
        <v>150</v>
      </c>
      <c r="B176" s="75"/>
      <c r="C176" s="207"/>
      <c r="D176" s="207"/>
      <c r="E176" s="78"/>
      <c r="F176" s="78"/>
      <c r="G176" s="76"/>
      <c r="H176" s="85"/>
      <c r="I176" s="187">
        <v>150</v>
      </c>
    </row>
    <row r="177" spans="1:9" x14ac:dyDescent="0.25">
      <c r="A177">
        <v>151</v>
      </c>
      <c r="B177" s="75"/>
      <c r="C177" s="207"/>
      <c r="D177" s="207"/>
      <c r="E177" s="78"/>
      <c r="F177" s="78"/>
      <c r="G177" s="76"/>
      <c r="H177" s="85"/>
      <c r="I177" s="187">
        <v>151</v>
      </c>
    </row>
    <row r="178" spans="1:9" x14ac:dyDescent="0.25">
      <c r="A178">
        <v>152</v>
      </c>
      <c r="B178" s="75"/>
      <c r="C178" s="207"/>
      <c r="D178" s="207"/>
      <c r="E178" s="78"/>
      <c r="F178" s="78"/>
      <c r="G178" s="76"/>
      <c r="H178" s="85"/>
      <c r="I178" s="187">
        <v>152</v>
      </c>
    </row>
    <row r="179" spans="1:9" x14ac:dyDescent="0.25">
      <c r="A179">
        <v>153</v>
      </c>
      <c r="B179" s="75"/>
      <c r="C179" s="207"/>
      <c r="D179" s="207"/>
      <c r="E179" s="78"/>
      <c r="F179" s="78"/>
      <c r="G179" s="76"/>
      <c r="H179" s="84"/>
      <c r="I179" s="187">
        <v>153</v>
      </c>
    </row>
    <row r="180" spans="1:9" x14ac:dyDescent="0.25">
      <c r="A180">
        <v>154</v>
      </c>
      <c r="B180" s="75"/>
      <c r="C180" s="207"/>
      <c r="D180" s="207"/>
      <c r="E180" s="78"/>
      <c r="F180" s="78"/>
      <c r="G180" s="76"/>
      <c r="H180" s="85"/>
      <c r="I180" s="187">
        <v>154</v>
      </c>
    </row>
    <row r="181" spans="1:9" x14ac:dyDescent="0.25">
      <c r="A181">
        <v>155</v>
      </c>
      <c r="B181" s="75"/>
      <c r="C181" s="207"/>
      <c r="D181" s="207"/>
      <c r="E181" s="78"/>
      <c r="F181" s="78"/>
      <c r="G181" s="76"/>
      <c r="H181" s="84"/>
      <c r="I181" s="187">
        <v>155</v>
      </c>
    </row>
    <row r="182" spans="1:9" x14ac:dyDescent="0.25">
      <c r="A182">
        <v>156</v>
      </c>
      <c r="B182" s="75"/>
      <c r="C182" s="207"/>
      <c r="D182" s="207"/>
      <c r="E182" s="78"/>
      <c r="F182" s="78"/>
      <c r="G182" s="76"/>
      <c r="H182" s="84"/>
      <c r="I182" s="187">
        <v>156</v>
      </c>
    </row>
    <row r="183" spans="1:9" x14ac:dyDescent="0.25">
      <c r="A183">
        <v>157</v>
      </c>
      <c r="B183" s="75"/>
      <c r="C183" s="207"/>
      <c r="D183" s="207"/>
      <c r="E183" s="78"/>
      <c r="F183" s="78"/>
      <c r="G183" s="76"/>
      <c r="H183" s="84"/>
      <c r="I183" s="187">
        <v>157</v>
      </c>
    </row>
    <row r="184" spans="1:9" x14ac:dyDescent="0.25">
      <c r="A184">
        <v>158</v>
      </c>
      <c r="B184" s="75"/>
      <c r="C184" s="207"/>
      <c r="D184" s="207"/>
      <c r="E184" s="78"/>
      <c r="F184" s="78"/>
      <c r="G184" s="76"/>
      <c r="H184" s="84"/>
      <c r="I184" s="187">
        <v>158</v>
      </c>
    </row>
    <row r="185" spans="1:9" x14ac:dyDescent="0.25">
      <c r="A185">
        <v>159</v>
      </c>
      <c r="B185" s="75"/>
      <c r="C185" s="207"/>
      <c r="D185" s="207"/>
      <c r="E185" s="78"/>
      <c r="F185" s="78"/>
      <c r="G185" s="76"/>
      <c r="H185" s="84"/>
      <c r="I185" s="187">
        <v>159</v>
      </c>
    </row>
    <row r="186" spans="1:9" x14ac:dyDescent="0.25">
      <c r="A186">
        <v>160</v>
      </c>
      <c r="B186" s="75"/>
      <c r="C186" s="207"/>
      <c r="D186" s="207"/>
      <c r="E186" s="78"/>
      <c r="F186" s="78"/>
      <c r="G186" s="76"/>
      <c r="H186" s="84"/>
      <c r="I186" s="187">
        <v>160</v>
      </c>
    </row>
    <row r="187" spans="1:9" x14ac:dyDescent="0.25">
      <c r="A187">
        <v>161</v>
      </c>
      <c r="B187" s="75"/>
      <c r="C187" s="207"/>
      <c r="D187" s="207"/>
      <c r="E187" s="78"/>
      <c r="F187" s="78"/>
      <c r="G187" s="76"/>
      <c r="H187" s="84"/>
      <c r="I187" s="187">
        <v>161</v>
      </c>
    </row>
    <row r="188" spans="1:9" x14ac:dyDescent="0.25">
      <c r="A188">
        <v>162</v>
      </c>
      <c r="B188" s="75"/>
      <c r="C188" s="207"/>
      <c r="D188" s="207"/>
      <c r="E188" s="78"/>
      <c r="F188" s="78"/>
      <c r="G188" s="76"/>
      <c r="H188" s="85"/>
      <c r="I188" s="187">
        <v>162</v>
      </c>
    </row>
    <row r="189" spans="1:9" x14ac:dyDescent="0.25">
      <c r="A189">
        <v>163</v>
      </c>
      <c r="B189" s="75"/>
      <c r="C189" s="207"/>
      <c r="D189" s="207"/>
      <c r="E189" s="78"/>
      <c r="F189" s="78"/>
      <c r="G189" s="76"/>
      <c r="H189" s="85"/>
      <c r="I189" s="187">
        <v>163</v>
      </c>
    </row>
    <row r="190" spans="1:9" x14ac:dyDescent="0.25">
      <c r="A190">
        <v>164</v>
      </c>
      <c r="B190" s="75"/>
      <c r="C190" s="207"/>
      <c r="D190" s="207"/>
      <c r="E190" s="78"/>
      <c r="F190" s="78"/>
      <c r="G190" s="76"/>
      <c r="H190" s="84"/>
      <c r="I190" s="187">
        <v>164</v>
      </c>
    </row>
    <row r="191" spans="1:9" x14ac:dyDescent="0.25">
      <c r="A191">
        <v>165</v>
      </c>
      <c r="B191" s="75"/>
      <c r="C191" s="207"/>
      <c r="D191" s="207"/>
      <c r="E191" s="78"/>
      <c r="F191" s="78"/>
      <c r="G191" s="76"/>
      <c r="H191" s="84"/>
      <c r="I191" s="187">
        <v>165</v>
      </c>
    </row>
    <row r="192" spans="1:9" x14ac:dyDescent="0.25">
      <c r="A192">
        <v>166</v>
      </c>
      <c r="B192" s="75"/>
      <c r="C192" s="207"/>
      <c r="D192" s="207"/>
      <c r="E192" s="78"/>
      <c r="F192" s="78"/>
      <c r="G192" s="76"/>
      <c r="H192" s="84"/>
      <c r="I192" s="187">
        <v>166</v>
      </c>
    </row>
    <row r="193" spans="1:9" x14ac:dyDescent="0.25">
      <c r="A193">
        <v>167</v>
      </c>
      <c r="B193" s="75"/>
      <c r="C193" s="207"/>
      <c r="D193" s="207"/>
      <c r="E193" s="78"/>
      <c r="F193" s="78"/>
      <c r="G193" s="76"/>
      <c r="H193" s="84"/>
      <c r="I193" s="187">
        <v>167</v>
      </c>
    </row>
    <row r="194" spans="1:9" x14ac:dyDescent="0.25">
      <c r="A194">
        <v>168</v>
      </c>
      <c r="B194" s="75"/>
      <c r="C194" s="207"/>
      <c r="D194" s="207"/>
      <c r="E194" s="78"/>
      <c r="F194" s="78"/>
      <c r="G194" s="76"/>
      <c r="H194" s="84"/>
      <c r="I194" s="187">
        <v>168</v>
      </c>
    </row>
    <row r="195" spans="1:9" x14ac:dyDescent="0.25">
      <c r="A195">
        <v>169</v>
      </c>
      <c r="B195" s="75"/>
      <c r="C195" s="207"/>
      <c r="D195" s="207"/>
      <c r="E195" s="78"/>
      <c r="F195" s="78"/>
      <c r="G195" s="76"/>
      <c r="H195" s="84"/>
      <c r="I195" s="187">
        <v>169</v>
      </c>
    </row>
    <row r="196" spans="1:9" x14ac:dyDescent="0.25">
      <c r="A196">
        <v>170</v>
      </c>
      <c r="B196" s="75"/>
      <c r="C196" s="207"/>
      <c r="D196" s="207"/>
      <c r="E196" s="78"/>
      <c r="F196" s="78"/>
      <c r="G196" s="76"/>
      <c r="H196" s="84"/>
      <c r="I196" s="187">
        <v>170</v>
      </c>
    </row>
    <row r="197" spans="1:9" x14ac:dyDescent="0.25">
      <c r="A197">
        <v>171</v>
      </c>
      <c r="B197" s="75"/>
      <c r="C197" s="207"/>
      <c r="D197" s="207"/>
      <c r="E197" s="78"/>
      <c r="F197" s="78"/>
      <c r="G197" s="76"/>
      <c r="H197" s="84"/>
      <c r="I197" s="187">
        <v>171</v>
      </c>
    </row>
    <row r="198" spans="1:9" x14ac:dyDescent="0.25">
      <c r="A198">
        <v>172</v>
      </c>
      <c r="B198" s="75"/>
      <c r="C198" s="207"/>
      <c r="D198" s="207"/>
      <c r="E198" s="78"/>
      <c r="F198" s="78"/>
      <c r="G198" s="76"/>
      <c r="H198" s="84"/>
      <c r="I198" s="187">
        <v>172</v>
      </c>
    </row>
    <row r="199" spans="1:9" x14ac:dyDescent="0.25">
      <c r="A199">
        <v>173</v>
      </c>
      <c r="B199" s="75"/>
      <c r="C199" s="207"/>
      <c r="D199" s="207"/>
      <c r="E199" s="78"/>
      <c r="F199" s="78"/>
      <c r="G199" s="76"/>
      <c r="H199" s="84"/>
      <c r="I199" s="187">
        <v>173</v>
      </c>
    </row>
    <row r="200" spans="1:9" x14ac:dyDescent="0.25">
      <c r="A200">
        <v>174</v>
      </c>
      <c r="B200" s="75"/>
      <c r="C200" s="207"/>
      <c r="D200" s="207"/>
      <c r="E200" s="78"/>
      <c r="F200" s="78"/>
      <c r="G200" s="76"/>
      <c r="H200" s="75"/>
      <c r="I200" s="187">
        <v>174</v>
      </c>
    </row>
    <row r="201" spans="1:9" x14ac:dyDescent="0.25">
      <c r="A201">
        <v>175</v>
      </c>
      <c r="B201" s="75"/>
      <c r="C201" s="207"/>
      <c r="D201" s="207"/>
      <c r="E201" s="78"/>
      <c r="F201" s="78"/>
      <c r="G201" s="76"/>
      <c r="H201" s="75"/>
      <c r="I201" s="187">
        <v>175</v>
      </c>
    </row>
    <row r="202" spans="1:9" x14ac:dyDescent="0.25">
      <c r="A202">
        <v>176</v>
      </c>
      <c r="B202" s="75"/>
      <c r="C202" s="207"/>
      <c r="D202" s="207"/>
      <c r="E202" s="78"/>
      <c r="F202" s="78"/>
      <c r="G202" s="76"/>
      <c r="H202" s="75"/>
      <c r="I202" s="187">
        <v>176</v>
      </c>
    </row>
    <row r="203" spans="1:9" x14ac:dyDescent="0.25">
      <c r="A203">
        <v>177</v>
      </c>
      <c r="B203" s="75"/>
      <c r="C203" s="207"/>
      <c r="D203" s="207"/>
      <c r="E203" s="78"/>
      <c r="F203" s="78"/>
      <c r="G203" s="76"/>
      <c r="H203" s="75"/>
      <c r="I203" s="187">
        <v>177</v>
      </c>
    </row>
    <row r="204" spans="1:9" x14ac:dyDescent="0.25">
      <c r="A204">
        <v>178</v>
      </c>
      <c r="B204" s="75"/>
      <c r="C204" s="207"/>
      <c r="D204" s="207"/>
      <c r="E204" s="78"/>
      <c r="F204" s="78"/>
      <c r="G204" s="76"/>
      <c r="H204" s="75"/>
      <c r="I204" s="187">
        <v>178</v>
      </c>
    </row>
    <row r="205" spans="1:9" x14ac:dyDescent="0.25">
      <c r="A205">
        <v>179</v>
      </c>
      <c r="B205" s="75"/>
      <c r="C205" s="207"/>
      <c r="D205" s="207"/>
      <c r="E205" s="78"/>
      <c r="F205" s="78"/>
      <c r="G205" s="76"/>
      <c r="H205" s="75"/>
      <c r="I205" s="187">
        <v>179</v>
      </c>
    </row>
    <row r="206" spans="1:9" x14ac:dyDescent="0.25">
      <c r="A206">
        <v>180</v>
      </c>
      <c r="B206" s="75"/>
      <c r="C206" s="207"/>
      <c r="D206" s="207"/>
      <c r="E206" s="78"/>
      <c r="F206" s="78"/>
      <c r="G206" s="76"/>
      <c r="H206" s="75"/>
      <c r="I206" s="187">
        <v>180</v>
      </c>
    </row>
    <row r="207" spans="1:9" x14ac:dyDescent="0.25">
      <c r="A207">
        <v>181</v>
      </c>
      <c r="B207" s="75"/>
      <c r="C207" s="207"/>
      <c r="D207" s="207"/>
      <c r="E207" s="78"/>
      <c r="F207" s="78"/>
      <c r="G207" s="76"/>
      <c r="H207" s="75"/>
      <c r="I207" s="187">
        <v>181</v>
      </c>
    </row>
    <row r="208" spans="1:9" x14ac:dyDescent="0.25">
      <c r="A208">
        <v>182</v>
      </c>
      <c r="B208" s="75"/>
      <c r="C208" s="207"/>
      <c r="D208" s="207"/>
      <c r="E208" s="78"/>
      <c r="F208" s="78"/>
      <c r="G208" s="76"/>
      <c r="H208" s="75"/>
      <c r="I208" s="187">
        <v>182</v>
      </c>
    </row>
    <row r="209" spans="1:9" x14ac:dyDescent="0.25">
      <c r="A209">
        <v>183</v>
      </c>
      <c r="B209" s="75"/>
      <c r="C209" s="207"/>
      <c r="D209" s="207"/>
      <c r="E209" s="78"/>
      <c r="F209" s="78"/>
      <c r="G209" s="76"/>
      <c r="H209" s="75"/>
      <c r="I209" s="187">
        <v>183</v>
      </c>
    </row>
    <row r="210" spans="1:9" x14ac:dyDescent="0.25">
      <c r="A210">
        <v>184</v>
      </c>
      <c r="B210" s="75"/>
      <c r="C210" s="207"/>
      <c r="D210" s="207"/>
      <c r="E210" s="78"/>
      <c r="F210" s="78"/>
      <c r="G210" s="76"/>
      <c r="H210" s="75"/>
      <c r="I210" s="187">
        <v>184</v>
      </c>
    </row>
    <row r="211" spans="1:9" x14ac:dyDescent="0.25">
      <c r="A211">
        <v>185</v>
      </c>
      <c r="B211" s="75"/>
      <c r="C211" s="207"/>
      <c r="D211" s="207"/>
      <c r="E211" s="78"/>
      <c r="F211" s="78"/>
      <c r="G211" s="76"/>
      <c r="H211" s="75"/>
      <c r="I211" s="187">
        <v>185</v>
      </c>
    </row>
    <row r="212" spans="1:9" x14ac:dyDescent="0.25">
      <c r="A212">
        <v>186</v>
      </c>
      <c r="B212" s="75"/>
      <c r="C212" s="207"/>
      <c r="D212" s="207"/>
      <c r="E212" s="78"/>
      <c r="F212" s="78"/>
      <c r="G212" s="76"/>
      <c r="H212" s="75"/>
      <c r="I212" s="187">
        <v>186</v>
      </c>
    </row>
    <row r="213" spans="1:9" x14ac:dyDescent="0.25">
      <c r="A213">
        <v>187</v>
      </c>
      <c r="B213" s="75"/>
      <c r="C213" s="207"/>
      <c r="D213" s="207"/>
      <c r="E213" s="78"/>
      <c r="F213" s="78"/>
      <c r="G213" s="76"/>
      <c r="H213" s="75"/>
      <c r="I213" s="187">
        <v>187</v>
      </c>
    </row>
    <row r="214" spans="1:9" x14ac:dyDescent="0.25">
      <c r="A214">
        <v>188</v>
      </c>
      <c r="B214" s="75"/>
      <c r="C214" s="207"/>
      <c r="D214" s="207"/>
      <c r="E214" s="78"/>
      <c r="F214" s="78"/>
      <c r="G214" s="76"/>
      <c r="H214" s="75"/>
      <c r="I214" s="187">
        <v>188</v>
      </c>
    </row>
    <row r="215" spans="1:9" x14ac:dyDescent="0.25">
      <c r="A215">
        <v>189</v>
      </c>
      <c r="B215" s="75"/>
      <c r="C215" s="207"/>
      <c r="D215" s="207"/>
      <c r="E215" s="78"/>
      <c r="F215" s="78"/>
      <c r="G215" s="76"/>
      <c r="H215" s="75"/>
      <c r="I215" s="187">
        <v>189</v>
      </c>
    </row>
    <row r="216" spans="1:9" x14ac:dyDescent="0.25">
      <c r="A216">
        <v>190</v>
      </c>
      <c r="B216" s="75"/>
      <c r="C216" s="207"/>
      <c r="D216" s="207"/>
      <c r="E216" s="78"/>
      <c r="F216" s="78"/>
      <c r="G216" s="76"/>
      <c r="H216" s="75"/>
      <c r="I216" s="187">
        <v>190</v>
      </c>
    </row>
    <row r="217" spans="1:9" x14ac:dyDescent="0.25">
      <c r="A217">
        <v>191</v>
      </c>
      <c r="B217" s="75"/>
      <c r="C217" s="207"/>
      <c r="D217" s="207"/>
      <c r="E217" s="78"/>
      <c r="F217" s="78"/>
      <c r="G217" s="76"/>
      <c r="H217" s="75"/>
      <c r="I217" s="187">
        <v>191</v>
      </c>
    </row>
    <row r="218" spans="1:9" x14ac:dyDescent="0.25">
      <c r="A218">
        <v>192</v>
      </c>
      <c r="B218" s="75"/>
      <c r="C218" s="207"/>
      <c r="D218" s="207"/>
      <c r="E218" s="78"/>
      <c r="F218" s="78"/>
      <c r="G218" s="76"/>
      <c r="H218" s="75"/>
      <c r="I218" s="187">
        <v>192</v>
      </c>
    </row>
    <row r="219" spans="1:9" x14ac:dyDescent="0.25">
      <c r="A219">
        <v>193</v>
      </c>
      <c r="B219" s="75"/>
      <c r="C219" s="207"/>
      <c r="D219" s="207"/>
      <c r="E219" s="78"/>
      <c r="F219" s="78"/>
      <c r="G219" s="76"/>
      <c r="H219" s="75"/>
      <c r="I219" s="187">
        <v>193</v>
      </c>
    </row>
    <row r="220" spans="1:9" x14ac:dyDescent="0.25">
      <c r="A220">
        <v>194</v>
      </c>
      <c r="B220" s="75"/>
      <c r="C220" s="207"/>
      <c r="D220" s="207"/>
      <c r="E220" s="78"/>
      <c r="F220" s="78"/>
      <c r="G220" s="76"/>
      <c r="H220" s="75"/>
      <c r="I220" s="187">
        <v>194</v>
      </c>
    </row>
    <row r="221" spans="1:9" x14ac:dyDescent="0.25">
      <c r="A221">
        <v>195</v>
      </c>
      <c r="B221" s="75"/>
      <c r="C221" s="207"/>
      <c r="D221" s="207"/>
      <c r="E221" s="78"/>
      <c r="F221" s="78"/>
      <c r="G221" s="76"/>
      <c r="H221" s="75"/>
      <c r="I221" s="187">
        <v>195</v>
      </c>
    </row>
    <row r="222" spans="1:9" x14ac:dyDescent="0.25">
      <c r="A222">
        <v>196</v>
      </c>
      <c r="B222" s="75"/>
      <c r="C222" s="207"/>
      <c r="D222" s="207"/>
      <c r="E222" s="78"/>
      <c r="F222" s="78"/>
      <c r="G222" s="76"/>
      <c r="H222" s="75"/>
      <c r="I222" s="187">
        <v>196</v>
      </c>
    </row>
    <row r="223" spans="1:9" x14ac:dyDescent="0.25">
      <c r="A223">
        <v>197</v>
      </c>
      <c r="B223" s="75"/>
      <c r="C223" s="207"/>
      <c r="D223" s="207"/>
      <c r="E223" s="78"/>
      <c r="F223" s="78"/>
      <c r="G223" s="76"/>
      <c r="H223" s="75"/>
      <c r="I223" s="187">
        <v>197</v>
      </c>
    </row>
    <row r="224" spans="1:9" x14ac:dyDescent="0.25">
      <c r="A224">
        <v>198</v>
      </c>
      <c r="B224" s="75"/>
      <c r="C224" s="207"/>
      <c r="D224" s="207"/>
      <c r="E224" s="78"/>
      <c r="F224" s="78"/>
      <c r="G224" s="76"/>
      <c r="H224" s="75"/>
      <c r="I224" s="187">
        <v>198</v>
      </c>
    </row>
    <row r="225" spans="1:9" x14ac:dyDescent="0.25">
      <c r="A225">
        <v>199</v>
      </c>
      <c r="B225" s="75"/>
      <c r="C225" s="207"/>
      <c r="D225" s="207"/>
      <c r="E225" s="78"/>
      <c r="F225" s="78"/>
      <c r="G225" s="76"/>
      <c r="H225" s="75"/>
      <c r="I225" s="187">
        <v>199</v>
      </c>
    </row>
    <row r="226" spans="1:9" x14ac:dyDescent="0.25">
      <c r="A226">
        <v>200</v>
      </c>
      <c r="B226" s="75"/>
      <c r="C226" s="207"/>
      <c r="D226" s="207"/>
      <c r="E226" s="78"/>
      <c r="F226" s="78"/>
      <c r="G226" s="76"/>
      <c r="H226" s="75"/>
      <c r="I226" s="187">
        <v>200</v>
      </c>
    </row>
    <row r="227" spans="1:9" x14ac:dyDescent="0.25">
      <c r="A227">
        <v>201</v>
      </c>
      <c r="B227" s="75"/>
      <c r="C227" s="207"/>
      <c r="D227" s="207"/>
      <c r="E227" s="78"/>
      <c r="F227" s="78"/>
      <c r="G227" s="76"/>
      <c r="H227" s="75"/>
      <c r="I227" s="187">
        <v>201</v>
      </c>
    </row>
    <row r="228" spans="1:9" x14ac:dyDescent="0.25">
      <c r="A228">
        <v>202</v>
      </c>
      <c r="B228" s="75"/>
      <c r="C228" s="207"/>
      <c r="D228" s="207"/>
      <c r="E228" s="78"/>
      <c r="F228" s="78"/>
      <c r="G228" s="76"/>
      <c r="H228" s="75"/>
      <c r="I228" s="187">
        <v>202</v>
      </c>
    </row>
    <row r="229" spans="1:9" x14ac:dyDescent="0.25">
      <c r="A229">
        <v>203</v>
      </c>
      <c r="B229" s="75"/>
      <c r="C229" s="207"/>
      <c r="D229" s="207"/>
      <c r="E229" s="78"/>
      <c r="F229" s="78"/>
      <c r="G229" s="76"/>
      <c r="H229" s="75"/>
      <c r="I229" s="187">
        <v>203</v>
      </c>
    </row>
    <row r="230" spans="1:9" x14ac:dyDescent="0.25">
      <c r="A230">
        <v>204</v>
      </c>
      <c r="B230" s="75"/>
      <c r="C230" s="207"/>
      <c r="D230" s="207"/>
      <c r="E230" s="78"/>
      <c r="F230" s="78"/>
      <c r="G230" s="76"/>
      <c r="H230" s="75"/>
      <c r="I230" s="187">
        <v>204</v>
      </c>
    </row>
    <row r="231" spans="1:9" x14ac:dyDescent="0.25">
      <c r="A231">
        <v>205</v>
      </c>
      <c r="B231" s="75"/>
      <c r="C231" s="207"/>
      <c r="D231" s="207"/>
      <c r="E231" s="78"/>
      <c r="F231" s="78"/>
      <c r="G231" s="76"/>
      <c r="H231" s="75"/>
      <c r="I231" s="187">
        <v>205</v>
      </c>
    </row>
    <row r="232" spans="1:9" x14ac:dyDescent="0.25">
      <c r="A232">
        <v>206</v>
      </c>
      <c r="B232" s="75"/>
      <c r="C232" s="207"/>
      <c r="D232" s="207"/>
      <c r="E232" s="78"/>
      <c r="F232" s="78"/>
      <c r="G232" s="76"/>
      <c r="H232" s="75"/>
      <c r="I232" s="187">
        <v>206</v>
      </c>
    </row>
    <row r="233" spans="1:9" x14ac:dyDescent="0.25">
      <c r="A233">
        <v>207</v>
      </c>
      <c r="B233" s="75"/>
      <c r="C233" s="207"/>
      <c r="D233" s="207"/>
      <c r="E233" s="78"/>
      <c r="F233" s="78"/>
      <c r="G233" s="76"/>
      <c r="H233" s="75"/>
      <c r="I233" s="187">
        <v>207</v>
      </c>
    </row>
    <row r="234" spans="1:9" x14ac:dyDescent="0.25">
      <c r="A234">
        <v>208</v>
      </c>
      <c r="B234" s="75"/>
      <c r="C234" s="207"/>
      <c r="D234" s="207"/>
      <c r="E234" s="78"/>
      <c r="F234" s="78"/>
      <c r="G234" s="76"/>
      <c r="H234" s="75"/>
      <c r="I234" s="187">
        <v>208</v>
      </c>
    </row>
    <row r="235" spans="1:9" x14ac:dyDescent="0.25">
      <c r="A235">
        <v>209</v>
      </c>
      <c r="B235" s="75"/>
      <c r="C235" s="207"/>
      <c r="D235" s="207"/>
      <c r="E235" s="78"/>
      <c r="F235" s="78"/>
      <c r="G235" s="76"/>
      <c r="H235" s="75"/>
      <c r="I235" s="187">
        <v>209</v>
      </c>
    </row>
    <row r="236" spans="1:9" x14ac:dyDescent="0.25">
      <c r="A236">
        <v>210</v>
      </c>
      <c r="B236" s="75"/>
      <c r="C236" s="207"/>
      <c r="D236" s="207"/>
      <c r="E236" s="78"/>
      <c r="F236" s="78"/>
      <c r="G236" s="76"/>
      <c r="H236" s="75"/>
      <c r="I236" s="187">
        <v>210</v>
      </c>
    </row>
    <row r="237" spans="1:9" x14ac:dyDescent="0.25">
      <c r="A237">
        <v>211</v>
      </c>
      <c r="B237" s="75"/>
      <c r="C237" s="207"/>
      <c r="D237" s="207"/>
      <c r="E237" s="78"/>
      <c r="F237" s="78"/>
      <c r="G237" s="76"/>
      <c r="H237" s="75"/>
      <c r="I237" s="187">
        <v>211</v>
      </c>
    </row>
    <row r="238" spans="1:9" x14ac:dyDescent="0.25">
      <c r="A238">
        <v>212</v>
      </c>
      <c r="B238" s="75"/>
      <c r="C238" s="207"/>
      <c r="D238" s="207"/>
      <c r="E238" s="78"/>
      <c r="F238" s="78"/>
      <c r="G238" s="76"/>
      <c r="H238" s="75"/>
      <c r="I238" s="187">
        <v>212</v>
      </c>
    </row>
    <row r="239" spans="1:9" x14ac:dyDescent="0.25">
      <c r="A239">
        <v>213</v>
      </c>
      <c r="B239" s="75"/>
      <c r="C239" s="207"/>
      <c r="D239" s="207"/>
      <c r="E239" s="78"/>
      <c r="F239" s="78"/>
      <c r="G239" s="76"/>
      <c r="H239" s="75"/>
      <c r="I239" s="187">
        <v>213</v>
      </c>
    </row>
    <row r="240" spans="1:9" x14ac:dyDescent="0.25">
      <c r="A240">
        <v>214</v>
      </c>
      <c r="B240" s="75"/>
      <c r="C240" s="207"/>
      <c r="D240" s="207"/>
      <c r="E240" s="78"/>
      <c r="F240" s="78"/>
      <c r="G240" s="76"/>
      <c r="H240" s="75"/>
      <c r="I240" s="187">
        <v>214</v>
      </c>
    </row>
    <row r="241" spans="1:9" x14ac:dyDescent="0.25">
      <c r="A241">
        <v>215</v>
      </c>
      <c r="B241" s="75"/>
      <c r="C241" s="207"/>
      <c r="D241" s="207"/>
      <c r="E241" s="78"/>
      <c r="F241" s="78"/>
      <c r="G241" s="76"/>
      <c r="H241" s="75"/>
      <c r="I241" s="187">
        <v>215</v>
      </c>
    </row>
    <row r="242" spans="1:9" x14ac:dyDescent="0.25">
      <c r="A242">
        <v>216</v>
      </c>
      <c r="B242" s="75"/>
      <c r="C242" s="207"/>
      <c r="D242" s="207"/>
      <c r="E242" s="78"/>
      <c r="F242" s="78"/>
      <c r="G242" s="76"/>
      <c r="H242" s="75"/>
      <c r="I242" s="187">
        <v>216</v>
      </c>
    </row>
    <row r="243" spans="1:9" x14ac:dyDescent="0.25">
      <c r="A243">
        <v>217</v>
      </c>
      <c r="B243" s="75"/>
      <c r="C243" s="207"/>
      <c r="D243" s="207"/>
      <c r="E243" s="78"/>
      <c r="F243" s="78"/>
      <c r="G243" s="76"/>
      <c r="H243" s="75"/>
      <c r="I243" s="187">
        <v>217</v>
      </c>
    </row>
    <row r="244" spans="1:9" x14ac:dyDescent="0.25">
      <c r="A244">
        <v>218</v>
      </c>
      <c r="B244" s="75"/>
      <c r="C244" s="207"/>
      <c r="D244" s="207"/>
      <c r="E244" s="78"/>
      <c r="F244" s="78"/>
      <c r="G244" s="76"/>
      <c r="H244" s="75"/>
      <c r="I244" s="187">
        <v>218</v>
      </c>
    </row>
    <row r="245" spans="1:9" x14ac:dyDescent="0.25">
      <c r="A245">
        <v>219</v>
      </c>
      <c r="B245" s="75"/>
      <c r="C245" s="207"/>
      <c r="D245" s="207"/>
      <c r="E245" s="78"/>
      <c r="F245" s="78"/>
      <c r="G245" s="76"/>
      <c r="H245" s="75"/>
      <c r="I245" s="187">
        <v>219</v>
      </c>
    </row>
    <row r="246" spans="1:9" x14ac:dyDescent="0.25">
      <c r="A246">
        <v>220</v>
      </c>
      <c r="B246" s="75"/>
      <c r="C246" s="207"/>
      <c r="D246" s="207"/>
      <c r="E246" s="78"/>
      <c r="F246" s="78"/>
      <c r="G246" s="76"/>
      <c r="H246" s="75"/>
      <c r="I246" s="187">
        <v>220</v>
      </c>
    </row>
    <row r="247" spans="1:9" x14ac:dyDescent="0.25">
      <c r="A247">
        <v>221</v>
      </c>
      <c r="B247" s="75"/>
      <c r="C247" s="207"/>
      <c r="D247" s="207"/>
      <c r="E247" s="78"/>
      <c r="F247" s="78"/>
      <c r="G247" s="76"/>
      <c r="H247" s="75"/>
      <c r="I247" s="187">
        <v>221</v>
      </c>
    </row>
    <row r="248" spans="1:9" x14ac:dyDescent="0.25">
      <c r="A248">
        <v>222</v>
      </c>
      <c r="B248" s="75"/>
      <c r="C248" s="207"/>
      <c r="D248" s="207"/>
      <c r="E248" s="78"/>
      <c r="F248" s="78"/>
      <c r="G248" s="76"/>
      <c r="H248" s="75"/>
      <c r="I248" s="187">
        <v>222</v>
      </c>
    </row>
    <row r="249" spans="1:9" x14ac:dyDescent="0.25">
      <c r="A249">
        <v>223</v>
      </c>
      <c r="B249" s="75"/>
      <c r="C249" s="207"/>
      <c r="D249" s="207"/>
      <c r="E249" s="78"/>
      <c r="F249" s="78"/>
      <c r="G249" s="76"/>
      <c r="H249" s="75"/>
      <c r="I249" s="187">
        <v>223</v>
      </c>
    </row>
    <row r="250" spans="1:9" x14ac:dyDescent="0.25">
      <c r="A250">
        <v>224</v>
      </c>
      <c r="B250" s="75"/>
      <c r="C250" s="207"/>
      <c r="D250" s="207"/>
      <c r="E250" s="78"/>
      <c r="F250" s="78"/>
      <c r="G250" s="76"/>
      <c r="H250" s="75"/>
      <c r="I250" s="187">
        <v>224</v>
      </c>
    </row>
    <row r="251" spans="1:9" x14ac:dyDescent="0.25">
      <c r="A251">
        <v>225</v>
      </c>
      <c r="B251" s="75"/>
      <c r="C251" s="207"/>
      <c r="D251" s="207"/>
      <c r="E251" s="78"/>
      <c r="F251" s="78"/>
      <c r="G251" s="76"/>
      <c r="H251" s="75"/>
      <c r="I251" s="187">
        <v>225</v>
      </c>
    </row>
    <row r="252" spans="1:9" x14ac:dyDescent="0.25">
      <c r="A252">
        <v>226</v>
      </c>
      <c r="B252" s="75"/>
      <c r="C252" s="207"/>
      <c r="D252" s="207"/>
      <c r="E252" s="78"/>
      <c r="F252" s="78"/>
      <c r="G252" s="76"/>
      <c r="H252" s="75"/>
      <c r="I252" s="187">
        <v>226</v>
      </c>
    </row>
    <row r="253" spans="1:9" x14ac:dyDescent="0.25">
      <c r="A253">
        <v>227</v>
      </c>
      <c r="B253" s="75"/>
      <c r="C253" s="207"/>
      <c r="D253" s="207"/>
      <c r="E253" s="78"/>
      <c r="F253" s="78"/>
      <c r="G253" s="76"/>
      <c r="H253" s="75"/>
      <c r="I253" s="187">
        <v>227</v>
      </c>
    </row>
    <row r="254" spans="1:9" x14ac:dyDescent="0.25">
      <c r="A254">
        <v>228</v>
      </c>
      <c r="B254" s="75"/>
      <c r="C254" s="207"/>
      <c r="D254" s="207"/>
      <c r="E254" s="78"/>
      <c r="F254" s="78"/>
      <c r="G254" s="76"/>
      <c r="H254" s="75"/>
      <c r="I254" s="187">
        <v>228</v>
      </c>
    </row>
    <row r="255" spans="1:9" x14ac:dyDescent="0.25">
      <c r="A255">
        <v>229</v>
      </c>
      <c r="B255" s="75"/>
      <c r="C255" s="207"/>
      <c r="D255" s="207"/>
      <c r="E255" s="78"/>
      <c r="F255" s="78"/>
      <c r="G255" s="76"/>
      <c r="H255" s="75"/>
      <c r="I255" s="187">
        <v>229</v>
      </c>
    </row>
    <row r="256" spans="1:9" x14ac:dyDescent="0.25">
      <c r="A256">
        <v>230</v>
      </c>
      <c r="B256" s="75"/>
      <c r="C256" s="207"/>
      <c r="D256" s="207"/>
      <c r="E256" s="78"/>
      <c r="F256" s="78"/>
      <c r="G256" s="76"/>
      <c r="H256" s="75"/>
      <c r="I256" s="187">
        <v>230</v>
      </c>
    </row>
    <row r="257" spans="1:9" x14ac:dyDescent="0.25">
      <c r="A257">
        <v>231</v>
      </c>
      <c r="B257" s="75"/>
      <c r="C257" s="207"/>
      <c r="D257" s="207"/>
      <c r="E257" s="78"/>
      <c r="F257" s="78"/>
      <c r="G257" s="76"/>
      <c r="H257" s="75"/>
      <c r="I257" s="187">
        <v>231</v>
      </c>
    </row>
    <row r="258" spans="1:9" x14ac:dyDescent="0.25">
      <c r="A258">
        <v>232</v>
      </c>
      <c r="B258" s="75"/>
      <c r="C258" s="207"/>
      <c r="D258" s="207"/>
      <c r="E258" s="78"/>
      <c r="F258" s="78"/>
      <c r="G258" s="76"/>
      <c r="H258" s="75"/>
      <c r="I258" s="187">
        <v>232</v>
      </c>
    </row>
    <row r="259" spans="1:9" x14ac:dyDescent="0.25">
      <c r="A259">
        <v>233</v>
      </c>
      <c r="B259" s="75"/>
      <c r="C259" s="207"/>
      <c r="D259" s="207"/>
      <c r="E259" s="78"/>
      <c r="F259" s="78"/>
      <c r="G259" s="76"/>
      <c r="H259" s="75"/>
      <c r="I259" s="187">
        <v>233</v>
      </c>
    </row>
    <row r="260" spans="1:9" x14ac:dyDescent="0.25">
      <c r="A260">
        <v>234</v>
      </c>
      <c r="B260" s="75"/>
      <c r="C260" s="207"/>
      <c r="D260" s="207"/>
      <c r="E260" s="78"/>
      <c r="F260" s="78"/>
      <c r="G260" s="76"/>
      <c r="H260" s="75"/>
      <c r="I260" s="187">
        <v>234</v>
      </c>
    </row>
    <row r="261" spans="1:9" x14ac:dyDescent="0.25">
      <c r="A261">
        <v>235</v>
      </c>
      <c r="B261" s="75"/>
      <c r="C261" s="207"/>
      <c r="D261" s="207"/>
      <c r="E261" s="78"/>
      <c r="F261" s="78"/>
      <c r="G261" s="76"/>
      <c r="H261" s="75"/>
      <c r="I261" s="187">
        <v>235</v>
      </c>
    </row>
    <row r="262" spans="1:9" x14ac:dyDescent="0.25">
      <c r="A262">
        <v>236</v>
      </c>
      <c r="B262" s="75"/>
      <c r="C262" s="207"/>
      <c r="D262" s="207"/>
      <c r="E262" s="78"/>
      <c r="F262" s="78"/>
      <c r="G262" s="76"/>
      <c r="H262" s="75"/>
      <c r="I262" s="187">
        <v>236</v>
      </c>
    </row>
    <row r="263" spans="1:9" x14ac:dyDescent="0.25">
      <c r="A263">
        <v>237</v>
      </c>
      <c r="B263" s="75"/>
      <c r="C263" s="207"/>
      <c r="D263" s="207"/>
      <c r="E263" s="78"/>
      <c r="F263" s="78"/>
      <c r="G263" s="76"/>
      <c r="H263" s="75"/>
      <c r="I263" s="187">
        <v>237</v>
      </c>
    </row>
    <row r="264" spans="1:9" x14ac:dyDescent="0.25">
      <c r="A264">
        <v>238</v>
      </c>
      <c r="B264" s="75"/>
      <c r="C264" s="207"/>
      <c r="D264" s="207"/>
      <c r="E264" s="78"/>
      <c r="F264" s="78"/>
      <c r="G264" s="76"/>
      <c r="H264" s="75"/>
      <c r="I264" s="187">
        <v>238</v>
      </c>
    </row>
    <row r="265" spans="1:9" x14ac:dyDescent="0.25">
      <c r="A265">
        <v>239</v>
      </c>
      <c r="B265" s="75"/>
      <c r="C265" s="207"/>
      <c r="D265" s="207"/>
      <c r="E265" s="78"/>
      <c r="F265" s="78"/>
      <c r="G265" s="76"/>
      <c r="H265" s="75"/>
      <c r="I265" s="187">
        <v>239</v>
      </c>
    </row>
    <row r="266" spans="1:9" x14ac:dyDescent="0.25">
      <c r="A266">
        <v>240</v>
      </c>
      <c r="B266" s="75"/>
      <c r="C266" s="207"/>
      <c r="D266" s="207"/>
      <c r="E266" s="78"/>
      <c r="F266" s="78"/>
      <c r="G266" s="76"/>
      <c r="H266" s="75"/>
      <c r="I266" s="187">
        <v>240</v>
      </c>
    </row>
    <row r="267" spans="1:9" x14ac:dyDescent="0.25">
      <c r="A267">
        <v>241</v>
      </c>
      <c r="B267" s="75"/>
      <c r="C267" s="207"/>
      <c r="D267" s="207"/>
      <c r="E267" s="78"/>
      <c r="F267" s="78"/>
      <c r="G267" s="76"/>
      <c r="H267" s="75"/>
      <c r="I267" s="187">
        <v>241</v>
      </c>
    </row>
    <row r="268" spans="1:9" x14ac:dyDescent="0.25">
      <c r="A268">
        <v>242</v>
      </c>
      <c r="B268" s="75"/>
      <c r="C268" s="207"/>
      <c r="D268" s="207"/>
      <c r="E268" s="78"/>
      <c r="F268" s="78"/>
      <c r="G268" s="76"/>
      <c r="H268" s="75"/>
      <c r="I268" s="187">
        <v>242</v>
      </c>
    </row>
    <row r="269" spans="1:9" x14ac:dyDescent="0.25">
      <c r="A269">
        <v>243</v>
      </c>
      <c r="B269" s="75"/>
      <c r="C269" s="207"/>
      <c r="D269" s="207"/>
      <c r="E269" s="78"/>
      <c r="F269" s="78"/>
      <c r="G269" s="76"/>
      <c r="H269" s="75"/>
      <c r="I269" s="187">
        <v>243</v>
      </c>
    </row>
    <row r="270" spans="1:9" x14ac:dyDescent="0.25">
      <c r="A270">
        <v>244</v>
      </c>
      <c r="B270" s="75"/>
      <c r="C270" s="207"/>
      <c r="D270" s="207"/>
      <c r="E270" s="78"/>
      <c r="F270" s="78"/>
      <c r="G270" s="76"/>
      <c r="H270" s="75"/>
      <c r="I270" s="187">
        <v>244</v>
      </c>
    </row>
    <row r="271" spans="1:9" x14ac:dyDescent="0.25">
      <c r="A271">
        <v>245</v>
      </c>
      <c r="B271" s="75"/>
      <c r="C271" s="207"/>
      <c r="D271" s="207"/>
      <c r="E271" s="78"/>
      <c r="F271" s="78"/>
      <c r="G271" s="76"/>
      <c r="H271" s="75"/>
      <c r="I271" s="187">
        <v>245</v>
      </c>
    </row>
    <row r="272" spans="1:9" x14ac:dyDescent="0.25">
      <c r="A272">
        <v>246</v>
      </c>
      <c r="B272" s="75"/>
      <c r="C272" s="207"/>
      <c r="D272" s="207"/>
      <c r="E272" s="78"/>
      <c r="F272" s="78"/>
      <c r="G272" s="76"/>
      <c r="H272" s="75"/>
      <c r="I272" s="187">
        <v>246</v>
      </c>
    </row>
    <row r="273" spans="1:9" x14ac:dyDescent="0.25">
      <c r="A273">
        <v>247</v>
      </c>
      <c r="B273" s="75"/>
      <c r="C273" s="207"/>
      <c r="D273" s="207"/>
      <c r="E273" s="78"/>
      <c r="F273" s="78"/>
      <c r="G273" s="76"/>
      <c r="H273" s="75"/>
      <c r="I273" s="187">
        <v>247</v>
      </c>
    </row>
    <row r="274" spans="1:9" x14ac:dyDescent="0.25">
      <c r="A274">
        <v>248</v>
      </c>
      <c r="B274" s="75"/>
      <c r="C274" s="207"/>
      <c r="D274" s="207"/>
      <c r="E274" s="78"/>
      <c r="F274" s="78"/>
      <c r="G274" s="76"/>
      <c r="H274" s="75"/>
      <c r="I274" s="187">
        <v>248</v>
      </c>
    </row>
    <row r="275" spans="1:9" x14ac:dyDescent="0.25">
      <c r="A275">
        <v>249</v>
      </c>
      <c r="B275" s="75"/>
      <c r="C275" s="207"/>
      <c r="D275" s="207"/>
      <c r="E275" s="78"/>
      <c r="F275" s="78"/>
      <c r="G275" s="76"/>
      <c r="H275" s="75"/>
      <c r="I275" s="187">
        <v>249</v>
      </c>
    </row>
    <row r="276" spans="1:9" x14ac:dyDescent="0.25">
      <c r="A276">
        <v>250</v>
      </c>
      <c r="B276" s="75"/>
      <c r="C276" s="207"/>
      <c r="D276" s="207"/>
      <c r="E276" s="78"/>
      <c r="F276" s="78"/>
      <c r="G276" s="76"/>
      <c r="H276" s="75"/>
      <c r="I276" s="187">
        <v>250</v>
      </c>
    </row>
    <row r="277" spans="1:9" x14ac:dyDescent="0.25">
      <c r="A277">
        <v>251</v>
      </c>
      <c r="B277" s="75"/>
      <c r="C277" s="207"/>
      <c r="D277" s="207"/>
      <c r="E277" s="78"/>
      <c r="F277" s="78"/>
      <c r="G277" s="76"/>
      <c r="H277" s="75"/>
      <c r="I277" s="187">
        <v>251</v>
      </c>
    </row>
    <row r="278" spans="1:9" x14ac:dyDescent="0.25">
      <c r="A278">
        <v>252</v>
      </c>
      <c r="B278" s="75"/>
      <c r="C278" s="207"/>
      <c r="D278" s="207"/>
      <c r="E278" s="78"/>
      <c r="F278" s="78"/>
      <c r="G278" s="76"/>
      <c r="H278" s="75"/>
      <c r="I278" s="187">
        <v>252</v>
      </c>
    </row>
    <row r="279" spans="1:9" x14ac:dyDescent="0.25">
      <c r="A279">
        <v>253</v>
      </c>
      <c r="B279" s="75"/>
      <c r="C279" s="207"/>
      <c r="D279" s="207"/>
      <c r="E279" s="78"/>
      <c r="F279" s="78"/>
      <c r="G279" s="76"/>
      <c r="H279" s="75"/>
      <c r="I279" s="187">
        <v>253</v>
      </c>
    </row>
    <row r="280" spans="1:9" x14ac:dyDescent="0.25">
      <c r="A280">
        <v>254</v>
      </c>
      <c r="B280" s="75"/>
      <c r="C280" s="207"/>
      <c r="D280" s="207"/>
      <c r="E280" s="78"/>
      <c r="F280" s="78"/>
      <c r="G280" s="76"/>
      <c r="H280" s="75"/>
      <c r="I280" s="187">
        <v>254</v>
      </c>
    </row>
    <row r="281" spans="1:9" x14ac:dyDescent="0.25">
      <c r="A281">
        <v>255</v>
      </c>
      <c r="B281" s="75"/>
      <c r="C281" s="207"/>
      <c r="D281" s="207"/>
      <c r="E281" s="78"/>
      <c r="F281" s="78"/>
      <c r="G281" s="76"/>
      <c r="H281" s="75"/>
      <c r="I281" s="187">
        <v>255</v>
      </c>
    </row>
    <row r="282" spans="1:9" x14ac:dyDescent="0.25">
      <c r="A282">
        <v>256</v>
      </c>
      <c r="B282" s="75"/>
      <c r="C282" s="207"/>
      <c r="D282" s="207"/>
      <c r="E282" s="78"/>
      <c r="F282" s="78"/>
      <c r="G282" s="76"/>
      <c r="H282" s="75"/>
      <c r="I282" s="187">
        <v>256</v>
      </c>
    </row>
    <row r="283" spans="1:9" x14ac:dyDescent="0.25">
      <c r="A283">
        <v>257</v>
      </c>
      <c r="B283" s="75"/>
      <c r="C283" s="207"/>
      <c r="D283" s="207"/>
      <c r="E283" s="78"/>
      <c r="F283" s="78"/>
      <c r="G283" s="76"/>
      <c r="H283" s="75"/>
      <c r="I283" s="187">
        <v>257</v>
      </c>
    </row>
    <row r="284" spans="1:9" x14ac:dyDescent="0.25">
      <c r="A284">
        <v>258</v>
      </c>
      <c r="B284" s="75"/>
      <c r="C284" s="207"/>
      <c r="D284" s="207"/>
      <c r="E284" s="78"/>
      <c r="F284" s="78"/>
      <c r="G284" s="76"/>
      <c r="H284" s="75"/>
      <c r="I284" s="187">
        <v>258</v>
      </c>
    </row>
    <row r="285" spans="1:9" x14ac:dyDescent="0.25">
      <c r="A285">
        <v>259</v>
      </c>
      <c r="B285" s="75"/>
      <c r="C285" s="207"/>
      <c r="D285" s="207"/>
      <c r="E285" s="78"/>
      <c r="F285" s="78"/>
      <c r="G285" s="76"/>
      <c r="H285" s="75"/>
      <c r="I285" s="187">
        <v>259</v>
      </c>
    </row>
    <row r="286" spans="1:9" x14ac:dyDescent="0.25">
      <c r="A286">
        <v>260</v>
      </c>
      <c r="B286" s="75"/>
      <c r="C286" s="207"/>
      <c r="D286" s="207"/>
      <c r="E286" s="78"/>
      <c r="F286" s="78"/>
      <c r="G286" s="76"/>
      <c r="H286" s="75"/>
      <c r="I286" s="187">
        <v>260</v>
      </c>
    </row>
    <row r="287" spans="1:9" x14ac:dyDescent="0.25">
      <c r="A287">
        <v>261</v>
      </c>
      <c r="B287" s="75"/>
      <c r="C287" s="207"/>
      <c r="D287" s="207"/>
      <c r="E287" s="78"/>
      <c r="F287" s="78"/>
      <c r="G287" s="76"/>
      <c r="H287" s="75"/>
      <c r="I287" s="187">
        <v>261</v>
      </c>
    </row>
    <row r="288" spans="1:9" x14ac:dyDescent="0.25">
      <c r="A288">
        <v>262</v>
      </c>
      <c r="B288" s="75"/>
      <c r="C288" s="207"/>
      <c r="D288" s="207"/>
      <c r="E288" s="78"/>
      <c r="F288" s="78"/>
      <c r="G288" s="76"/>
      <c r="H288" s="75"/>
      <c r="I288" s="187">
        <v>262</v>
      </c>
    </row>
    <row r="289" spans="1:9" x14ac:dyDescent="0.25">
      <c r="A289">
        <v>263</v>
      </c>
      <c r="B289" s="75"/>
      <c r="C289" s="207"/>
      <c r="D289" s="207"/>
      <c r="E289" s="78"/>
      <c r="F289" s="78"/>
      <c r="G289" s="76"/>
      <c r="H289" s="75"/>
      <c r="I289" s="187">
        <v>263</v>
      </c>
    </row>
    <row r="290" spans="1:9" x14ac:dyDescent="0.25">
      <c r="A290">
        <v>264</v>
      </c>
      <c r="B290" s="75"/>
      <c r="C290" s="207"/>
      <c r="D290" s="207"/>
      <c r="E290" s="78"/>
      <c r="F290" s="78"/>
      <c r="G290" s="76"/>
      <c r="H290" s="75"/>
      <c r="I290" s="187">
        <v>264</v>
      </c>
    </row>
    <row r="291" spans="1:9" x14ac:dyDescent="0.25">
      <c r="A291">
        <v>265</v>
      </c>
      <c r="B291" s="75"/>
      <c r="C291" s="207"/>
      <c r="D291" s="207"/>
      <c r="E291" s="78"/>
      <c r="F291" s="78"/>
      <c r="G291" s="76"/>
      <c r="H291" s="75"/>
      <c r="I291" s="187">
        <v>265</v>
      </c>
    </row>
    <row r="292" spans="1:9" x14ac:dyDescent="0.25">
      <c r="A292">
        <v>266</v>
      </c>
      <c r="B292" s="75"/>
      <c r="C292" s="207"/>
      <c r="D292" s="207"/>
      <c r="E292" s="78"/>
      <c r="F292" s="78"/>
      <c r="G292" s="76"/>
      <c r="H292" s="75"/>
      <c r="I292" s="187">
        <v>266</v>
      </c>
    </row>
    <row r="293" spans="1:9" x14ac:dyDescent="0.25">
      <c r="A293">
        <v>267</v>
      </c>
      <c r="B293" s="75"/>
      <c r="C293" s="207"/>
      <c r="D293" s="207"/>
      <c r="E293" s="78"/>
      <c r="F293" s="78"/>
      <c r="G293" s="76"/>
      <c r="H293" s="75"/>
      <c r="I293" s="187">
        <v>267</v>
      </c>
    </row>
    <row r="294" spans="1:9" x14ac:dyDescent="0.25">
      <c r="A294">
        <v>268</v>
      </c>
      <c r="B294" s="75"/>
      <c r="C294" s="207"/>
      <c r="D294" s="207"/>
      <c r="E294" s="78"/>
      <c r="F294" s="78"/>
      <c r="G294" s="76"/>
      <c r="H294" s="75"/>
      <c r="I294" s="187">
        <v>268</v>
      </c>
    </row>
    <row r="295" spans="1:9" x14ac:dyDescent="0.25">
      <c r="A295">
        <v>269</v>
      </c>
      <c r="B295" s="75"/>
      <c r="C295" s="207"/>
      <c r="D295" s="207"/>
      <c r="E295" s="78"/>
      <c r="F295" s="78"/>
      <c r="G295" s="76"/>
      <c r="H295" s="75"/>
      <c r="I295" s="187">
        <v>269</v>
      </c>
    </row>
    <row r="296" spans="1:9" x14ac:dyDescent="0.25">
      <c r="A296">
        <v>270</v>
      </c>
      <c r="B296" s="75"/>
      <c r="C296" s="207"/>
      <c r="D296" s="207"/>
      <c r="E296" s="78"/>
      <c r="F296" s="78"/>
      <c r="G296" s="76"/>
      <c r="H296" s="75"/>
      <c r="I296" s="187">
        <v>270</v>
      </c>
    </row>
    <row r="297" spans="1:9" x14ac:dyDescent="0.25">
      <c r="A297">
        <v>271</v>
      </c>
      <c r="B297" s="75"/>
      <c r="C297" s="207"/>
      <c r="D297" s="207"/>
      <c r="E297" s="78"/>
      <c r="F297" s="78"/>
      <c r="G297" s="76"/>
      <c r="H297" s="75"/>
      <c r="I297" s="187">
        <v>271</v>
      </c>
    </row>
    <row r="298" spans="1:9" x14ac:dyDescent="0.25">
      <c r="A298">
        <v>272</v>
      </c>
      <c r="B298" s="75"/>
      <c r="C298" s="207"/>
      <c r="D298" s="207"/>
      <c r="E298" s="78"/>
      <c r="F298" s="78"/>
      <c r="G298" s="76"/>
      <c r="H298" s="75"/>
      <c r="I298" s="187">
        <v>272</v>
      </c>
    </row>
    <row r="299" spans="1:9" x14ac:dyDescent="0.25">
      <c r="A299">
        <v>273</v>
      </c>
      <c r="B299" s="75"/>
      <c r="C299" s="207"/>
      <c r="D299" s="207"/>
      <c r="E299" s="78"/>
      <c r="F299" s="78"/>
      <c r="G299" s="76"/>
      <c r="H299" s="75"/>
      <c r="I299" s="187">
        <v>273</v>
      </c>
    </row>
    <row r="300" spans="1:9" x14ac:dyDescent="0.25">
      <c r="A300">
        <v>274</v>
      </c>
      <c r="B300" s="75"/>
      <c r="C300" s="207"/>
      <c r="D300" s="207"/>
      <c r="E300" s="78"/>
      <c r="F300" s="78"/>
      <c r="G300" s="76"/>
      <c r="H300" s="75"/>
      <c r="I300" s="187">
        <v>274</v>
      </c>
    </row>
    <row r="301" spans="1:9" x14ac:dyDescent="0.25">
      <c r="A301">
        <v>275</v>
      </c>
      <c r="B301" s="75"/>
      <c r="C301" s="207"/>
      <c r="D301" s="207"/>
      <c r="E301" s="78"/>
      <c r="F301" s="78"/>
      <c r="G301" s="76"/>
      <c r="H301" s="75"/>
      <c r="I301" s="187">
        <v>275</v>
      </c>
    </row>
    <row r="302" spans="1:9" x14ac:dyDescent="0.25">
      <c r="A302">
        <v>276</v>
      </c>
      <c r="B302" s="75"/>
      <c r="C302" s="207"/>
      <c r="D302" s="207"/>
      <c r="E302" s="78"/>
      <c r="F302" s="78"/>
      <c r="G302" s="76"/>
      <c r="H302" s="75"/>
      <c r="I302" s="187">
        <v>276</v>
      </c>
    </row>
    <row r="303" spans="1:9" x14ac:dyDescent="0.25">
      <c r="A303">
        <v>277</v>
      </c>
      <c r="B303" s="75"/>
      <c r="C303" s="207"/>
      <c r="D303" s="207"/>
      <c r="E303" s="78"/>
      <c r="F303" s="78"/>
      <c r="G303" s="76"/>
      <c r="H303" s="75"/>
      <c r="I303" s="187">
        <v>277</v>
      </c>
    </row>
    <row r="304" spans="1:9" x14ac:dyDescent="0.25">
      <c r="A304">
        <v>278</v>
      </c>
      <c r="B304" s="75"/>
      <c r="C304" s="207"/>
      <c r="D304" s="207"/>
      <c r="E304" s="78"/>
      <c r="F304" s="78"/>
      <c r="G304" s="76"/>
      <c r="H304" s="75"/>
      <c r="I304" s="187">
        <v>278</v>
      </c>
    </row>
    <row r="305" spans="1:9" x14ac:dyDescent="0.25">
      <c r="A305">
        <v>279</v>
      </c>
      <c r="B305" s="75"/>
      <c r="C305" s="207"/>
      <c r="D305" s="207"/>
      <c r="E305" s="78"/>
      <c r="F305" s="78"/>
      <c r="G305" s="76"/>
      <c r="H305" s="75"/>
      <c r="I305" s="187">
        <v>279</v>
      </c>
    </row>
    <row r="306" spans="1:9" x14ac:dyDescent="0.25">
      <c r="A306">
        <v>280</v>
      </c>
      <c r="B306" s="75"/>
      <c r="C306" s="207"/>
      <c r="D306" s="207"/>
      <c r="E306" s="78"/>
      <c r="F306" s="78"/>
      <c r="G306" s="76"/>
      <c r="H306" s="75"/>
      <c r="I306" s="187">
        <v>280</v>
      </c>
    </row>
    <row r="307" spans="1:9" x14ac:dyDescent="0.25">
      <c r="A307">
        <v>281</v>
      </c>
      <c r="B307" s="75"/>
      <c r="C307" s="207"/>
      <c r="D307" s="207"/>
      <c r="E307" s="78"/>
      <c r="F307" s="78"/>
      <c r="G307" s="76"/>
      <c r="H307" s="75"/>
      <c r="I307" s="187">
        <v>281</v>
      </c>
    </row>
    <row r="308" spans="1:9" x14ac:dyDescent="0.25">
      <c r="A308">
        <v>282</v>
      </c>
      <c r="B308" s="75"/>
      <c r="C308" s="207"/>
      <c r="D308" s="207"/>
      <c r="E308" s="78"/>
      <c r="F308" s="78"/>
      <c r="G308" s="76"/>
      <c r="H308" s="75"/>
      <c r="I308" s="187">
        <v>282</v>
      </c>
    </row>
    <row r="309" spans="1:9" x14ac:dyDescent="0.25">
      <c r="A309">
        <v>283</v>
      </c>
      <c r="B309" s="75"/>
      <c r="C309" s="207"/>
      <c r="D309" s="207"/>
      <c r="E309" s="78"/>
      <c r="F309" s="78"/>
      <c r="G309" s="76"/>
      <c r="H309" s="75"/>
      <c r="I309" s="187">
        <v>283</v>
      </c>
    </row>
    <row r="310" spans="1:9" x14ac:dyDescent="0.25">
      <c r="A310">
        <v>284</v>
      </c>
      <c r="B310" s="75"/>
      <c r="C310" s="207"/>
      <c r="D310" s="207"/>
      <c r="E310" s="78"/>
      <c r="F310" s="78"/>
      <c r="G310" s="76"/>
      <c r="H310" s="75"/>
      <c r="I310" s="187">
        <v>284</v>
      </c>
    </row>
    <row r="311" spans="1:9" x14ac:dyDescent="0.25">
      <c r="A311">
        <v>285</v>
      </c>
      <c r="B311" s="75"/>
      <c r="C311" s="207"/>
      <c r="D311" s="207"/>
      <c r="E311" s="78"/>
      <c r="F311" s="78"/>
      <c r="G311" s="76"/>
      <c r="H311" s="75"/>
      <c r="I311" s="187">
        <v>285</v>
      </c>
    </row>
    <row r="312" spans="1:9" x14ac:dyDescent="0.25">
      <c r="A312">
        <v>286</v>
      </c>
      <c r="B312" s="75"/>
      <c r="C312" s="207"/>
      <c r="D312" s="207"/>
      <c r="E312" s="78"/>
      <c r="F312" s="78"/>
      <c r="G312" s="76"/>
      <c r="H312" s="75"/>
      <c r="I312" s="187">
        <v>286</v>
      </c>
    </row>
    <row r="313" spans="1:9" x14ac:dyDescent="0.25">
      <c r="A313">
        <v>287</v>
      </c>
      <c r="B313" s="75"/>
      <c r="C313" s="207"/>
      <c r="D313" s="207"/>
      <c r="E313" s="78"/>
      <c r="F313" s="78"/>
      <c r="G313" s="76"/>
      <c r="H313" s="75"/>
      <c r="I313" s="187">
        <v>287</v>
      </c>
    </row>
    <row r="314" spans="1:9" x14ac:dyDescent="0.25">
      <c r="A314">
        <v>288</v>
      </c>
      <c r="B314" s="75"/>
      <c r="C314" s="207"/>
      <c r="D314" s="207"/>
      <c r="E314" s="78"/>
      <c r="F314" s="78"/>
      <c r="G314" s="76"/>
      <c r="H314" s="75"/>
      <c r="I314" s="187">
        <v>288</v>
      </c>
    </row>
    <row r="315" spans="1:9" x14ac:dyDescent="0.25">
      <c r="A315">
        <v>289</v>
      </c>
      <c r="B315" s="75"/>
      <c r="C315" s="207"/>
      <c r="D315" s="207"/>
      <c r="E315" s="78"/>
      <c r="F315" s="78"/>
      <c r="G315" s="76"/>
      <c r="H315" s="75"/>
      <c r="I315" s="187">
        <v>289</v>
      </c>
    </row>
    <row r="316" spans="1:9" x14ac:dyDescent="0.25">
      <c r="A316">
        <v>290</v>
      </c>
      <c r="B316" s="75"/>
      <c r="C316" s="207"/>
      <c r="D316" s="207"/>
      <c r="E316" s="78"/>
      <c r="F316" s="78"/>
      <c r="G316" s="76"/>
      <c r="H316" s="75"/>
      <c r="I316" s="187">
        <v>290</v>
      </c>
    </row>
    <row r="317" spans="1:9" x14ac:dyDescent="0.25">
      <c r="A317">
        <v>291</v>
      </c>
      <c r="B317" s="75"/>
      <c r="C317" s="207"/>
      <c r="D317" s="207"/>
      <c r="E317" s="78"/>
      <c r="F317" s="78"/>
      <c r="G317" s="76"/>
      <c r="H317" s="75"/>
      <c r="I317" s="187">
        <v>291</v>
      </c>
    </row>
    <row r="318" spans="1:9" x14ac:dyDescent="0.25">
      <c r="A318">
        <v>292</v>
      </c>
      <c r="B318" s="75"/>
      <c r="C318" s="207"/>
      <c r="D318" s="207"/>
      <c r="E318" s="78"/>
      <c r="F318" s="78"/>
      <c r="G318" s="76"/>
      <c r="H318" s="75"/>
      <c r="I318" s="187">
        <v>292</v>
      </c>
    </row>
    <row r="319" spans="1:9" x14ac:dyDescent="0.25">
      <c r="A319">
        <v>293</v>
      </c>
      <c r="B319" s="75"/>
      <c r="C319" s="207"/>
      <c r="D319" s="207"/>
      <c r="E319" s="78"/>
      <c r="F319" s="78"/>
      <c r="G319" s="76"/>
      <c r="H319" s="75"/>
      <c r="I319" s="187">
        <v>293</v>
      </c>
    </row>
    <row r="320" spans="1:9" x14ac:dyDescent="0.25">
      <c r="A320">
        <v>294</v>
      </c>
      <c r="B320" s="75"/>
      <c r="C320" s="207"/>
      <c r="D320" s="207"/>
      <c r="E320" s="78"/>
      <c r="F320" s="78"/>
      <c r="G320" s="76"/>
      <c r="H320" s="75"/>
      <c r="I320" s="187">
        <v>294</v>
      </c>
    </row>
    <row r="321" spans="1:9" x14ac:dyDescent="0.25">
      <c r="A321">
        <v>295</v>
      </c>
      <c r="B321" s="75"/>
      <c r="C321" s="207"/>
      <c r="D321" s="207"/>
      <c r="E321" s="78"/>
      <c r="F321" s="78"/>
      <c r="G321" s="76"/>
      <c r="H321" s="75"/>
      <c r="I321" s="187">
        <v>295</v>
      </c>
    </row>
    <row r="322" spans="1:9" x14ac:dyDescent="0.25">
      <c r="A322">
        <v>296</v>
      </c>
      <c r="B322" s="75"/>
      <c r="C322" s="207"/>
      <c r="D322" s="207"/>
      <c r="E322" s="78"/>
      <c r="F322" s="78"/>
      <c r="G322" s="76"/>
      <c r="H322" s="75"/>
      <c r="I322" s="187">
        <v>296</v>
      </c>
    </row>
    <row r="323" spans="1:9" x14ac:dyDescent="0.25">
      <c r="A323">
        <v>297</v>
      </c>
      <c r="B323" s="75"/>
      <c r="C323" s="207"/>
      <c r="D323" s="207"/>
      <c r="E323" s="78"/>
      <c r="F323" s="78"/>
      <c r="G323" s="76"/>
      <c r="H323" s="75"/>
      <c r="I323" s="187">
        <v>297</v>
      </c>
    </row>
    <row r="324" spans="1:9" x14ac:dyDescent="0.25">
      <c r="A324">
        <v>298</v>
      </c>
      <c r="B324" s="75"/>
      <c r="C324" s="207"/>
      <c r="D324" s="207"/>
      <c r="E324" s="78"/>
      <c r="F324" s="78"/>
      <c r="G324" s="76"/>
      <c r="H324" s="75"/>
      <c r="I324" s="187">
        <v>298</v>
      </c>
    </row>
    <row r="325" spans="1:9" x14ac:dyDescent="0.25">
      <c r="A325">
        <v>299</v>
      </c>
      <c r="B325" s="75"/>
      <c r="C325" s="207"/>
      <c r="D325" s="207"/>
      <c r="E325" s="78"/>
      <c r="F325" s="78"/>
      <c r="G325" s="76"/>
      <c r="H325" s="75"/>
      <c r="I325" s="187">
        <v>299</v>
      </c>
    </row>
    <row r="326" spans="1:9" x14ac:dyDescent="0.25">
      <c r="A326">
        <v>300</v>
      </c>
      <c r="B326" s="75"/>
      <c r="C326" s="207"/>
      <c r="D326" s="207"/>
      <c r="E326" s="78"/>
      <c r="F326" s="78"/>
      <c r="G326" s="76"/>
      <c r="H326" s="75"/>
      <c r="I326" s="187">
        <v>300</v>
      </c>
    </row>
    <row r="327" spans="1:9" x14ac:dyDescent="0.25">
      <c r="A327">
        <v>301</v>
      </c>
      <c r="B327" s="75"/>
      <c r="C327" s="207"/>
      <c r="D327" s="207"/>
      <c r="E327" s="78"/>
      <c r="F327" s="78"/>
      <c r="G327" s="76"/>
      <c r="H327" s="75"/>
      <c r="I327" s="187">
        <v>301</v>
      </c>
    </row>
    <row r="328" spans="1:9" x14ac:dyDescent="0.25">
      <c r="A328">
        <v>302</v>
      </c>
      <c r="B328" s="75"/>
      <c r="C328" s="207"/>
      <c r="D328" s="207"/>
      <c r="E328" s="78"/>
      <c r="F328" s="78"/>
      <c r="G328" s="76"/>
      <c r="H328" s="75"/>
      <c r="I328" s="187">
        <v>302</v>
      </c>
    </row>
    <row r="329" spans="1:9" s="187" customFormat="1" x14ac:dyDescent="0.25">
      <c r="B329" s="215"/>
      <c r="C329" s="215"/>
      <c r="D329" s="216"/>
      <c r="E329" s="215"/>
      <c r="F329" s="215"/>
      <c r="G329" s="215"/>
      <c r="H329" s="215"/>
    </row>
  </sheetData>
  <sheetProtection password="CACB" sheet="1" scenarios="1" formatCells="0" formatColumns="0" formatRows="0" insertColumns="0" insertRows="0" insertHyperlinks="0" deleteColumns="0" deleteRows="0" sort="0" autoFilter="0" pivotTables="0"/>
  <autoFilter ref="B26:H26"/>
  <mergeCells count="2">
    <mergeCell ref="B1:C1"/>
    <mergeCell ref="B23:C23"/>
  </mergeCells>
  <dataValidations count="12">
    <dataValidation allowBlank="1" showInputMessage="1" showErrorMessage="1" prompt="Check on backend tool relating to - Acceptance of positive negative cells, gradable/nongradable, shuffle group, toggle group, Dropdown policy applied, check box etc." sqref="G14:H18"/>
    <dataValidation allowBlank="1" showInputMessage="1" showErrorMessage="1" prompt="Relates to the Journal entries." sqref="G11:H11"/>
    <dataValidation allowBlank="1" showInputMessage="1" showErrorMessage="1" prompt="JE tags for the same dates, descriptions, reference tab, requirement tags etc. " sqref="G10:H10"/>
    <dataValidation allowBlank="1" showInputMessage="1" showErrorMessage="1" prompt="Core consistency check with the text - question information which excludes rephrasing the requirement for online rendering." sqref="G4:H4"/>
    <dataValidation allowBlank="1" showInputMessage="1" showErrorMessage="1" prompt="Calculation issues due to incorrect linking which affects the computation." sqref="G3:H3"/>
    <dataValidation allowBlank="1" showInputMessage="1" showErrorMessage="1" prompt="Consistency for the set-ups, instruction, suffix for the entry fields, formats etc. throughout the chapter or project._x000a_Initial checker/Reviewer should check with the Reviewer/QA's on this." sqref="G9:H9"/>
    <dataValidation allowBlank="1" showInputMessage="1" showErrorMessage="1" prompt="Issues generally observed in questions which are conceptually incorrect. e.g., values generated for the question in dataset/ connect." sqref="G2:H2"/>
    <dataValidation allowBlank="1" showInputMessage="1" showErrorMessage="1" prompt="Duplicate or conflicting distractor, Dropdown option inconsistent with COA, Order of entry issue." sqref="G8:H8"/>
    <dataValidation allowBlank="1" showInputMessage="1" showErrorMessage="1" prompt="Give-away to solve the answer. (Hints/Rollover/CMW)" sqref="G7:H7"/>
    <dataValidation allowBlank="1" showInputMessage="1" showErrorMessage="1" prompt="Incorrect Feedback (CMW/ Post submission/ Explanation)" sqref="G6:H6"/>
    <dataValidation allowBlank="1" showInputMessage="1" showErrorMessage="1" prompt="Missing instruction, Irrelevant instruction to be deleted." sqref="G5:H5"/>
    <dataValidation type="list" allowBlank="1" showInputMessage="1" showErrorMessage="1" sqref="G27:H328">
      <formula1>$G$2:$G$25</formula1>
    </dataValidation>
  </dataValidations>
  <hyperlinks>
    <hyperlink ref="B1" location="'Reviewer''s report'!A1" tooltip="Reviewer's report" display="Reviewer's report"/>
    <hyperlink ref="B1:C1" location="'Spotchecks-QA audit'!A1" tooltip="Reviewer's report" display="Spotchecks-QA audit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3"/>
  <sheetViews>
    <sheetView showGridLines="0" workbookViewId="0"/>
  </sheetViews>
  <sheetFormatPr defaultColWidth="0" defaultRowHeight="15" zeroHeight="1" x14ac:dyDescent="0.25"/>
  <cols>
    <col min="1" max="1" width="3.28515625" style="2" customWidth="1"/>
    <col min="2" max="2" width="1.7109375" style="2" customWidth="1"/>
    <col min="3" max="3" width="22.28515625" style="76" customWidth="1"/>
    <col min="4" max="4" width="19.28515625" style="76" customWidth="1"/>
    <col min="5" max="5" width="43.140625" style="78" customWidth="1"/>
    <col min="6" max="6" width="51.85546875" style="78" customWidth="1"/>
    <col min="7" max="7" width="32.42578125" style="76" customWidth="1"/>
    <col min="8" max="8" width="8.85546875" style="5" customWidth="1"/>
    <col min="9" max="9" width="1.5703125" style="2" hidden="1" customWidth="1"/>
    <col min="10" max="10" width="1.7109375" style="2" customWidth="1"/>
    <col min="11" max="11" width="3.85546875" style="2" customWidth="1"/>
    <col min="12" max="20" width="0" style="2" hidden="1" customWidth="1"/>
    <col min="21" max="16384" width="9.140625" style="2" hidden="1"/>
  </cols>
  <sheetData>
    <row r="1" spans="1:20" ht="15.75" thickBot="1" x14ac:dyDescent="0.3">
      <c r="A1" s="1"/>
      <c r="C1" s="3"/>
      <c r="D1" s="3"/>
      <c r="E1" s="4"/>
      <c r="F1" s="4"/>
      <c r="G1" s="3"/>
      <c r="K1" s="6"/>
      <c r="L1" s="7"/>
      <c r="M1" s="7"/>
      <c r="N1" s="7"/>
    </row>
    <row r="2" spans="1:20" ht="15.75" thickBot="1" x14ac:dyDescent="0.3">
      <c r="A2" s="6"/>
      <c r="B2" s="8"/>
      <c r="C2" s="9"/>
      <c r="D2" s="9"/>
      <c r="E2" s="10"/>
      <c r="F2" s="10"/>
      <c r="G2" s="9"/>
      <c r="H2" s="11"/>
      <c r="I2" s="12"/>
      <c r="J2" s="12"/>
      <c r="K2" s="7"/>
      <c r="L2" s="7"/>
      <c r="M2" s="7"/>
      <c r="N2" s="7"/>
    </row>
    <row r="3" spans="1:20" ht="30" customHeight="1" x14ac:dyDescent="0.25">
      <c r="A3" s="6"/>
      <c r="B3" s="13"/>
      <c r="C3" s="14" t="s">
        <v>0</v>
      </c>
      <c r="D3" s="311"/>
      <c r="E3" s="312"/>
      <c r="F3" s="81" t="s">
        <v>39</v>
      </c>
      <c r="G3" s="16" t="s">
        <v>2</v>
      </c>
      <c r="H3" s="16" t="s">
        <v>3</v>
      </c>
      <c r="I3" s="17" t="s">
        <v>4</v>
      </c>
      <c r="J3" s="18"/>
      <c r="K3" s="7"/>
      <c r="L3" s="19"/>
      <c r="O3" s="2" t="s">
        <v>5</v>
      </c>
      <c r="P3" s="2" t="s">
        <v>6</v>
      </c>
      <c r="Q3" s="2" t="s">
        <v>7</v>
      </c>
    </row>
    <row r="4" spans="1:20" ht="27" thickBot="1" x14ac:dyDescent="0.45">
      <c r="A4" s="6"/>
      <c r="B4" s="13"/>
      <c r="C4" s="20" t="s">
        <v>8</v>
      </c>
      <c r="D4" s="311"/>
      <c r="E4" s="312"/>
      <c r="F4" s="21">
        <f>O21</f>
        <v>1</v>
      </c>
      <c r="G4" s="22" t="s">
        <v>9</v>
      </c>
      <c r="H4" s="23">
        <f t="shared" ref="H4:H20" si="0">COUNTIF($G$42:$G$343,G4)</f>
        <v>0</v>
      </c>
      <c r="I4" s="24">
        <v>5</v>
      </c>
      <c r="J4" s="18"/>
      <c r="K4" s="7"/>
      <c r="L4" s="25">
        <f t="shared" ref="L4:L20" si="1">I4*(100/$D$7)</f>
        <v>25</v>
      </c>
      <c r="M4" s="2">
        <f>L4*H4</f>
        <v>0</v>
      </c>
      <c r="O4" s="23">
        <f t="shared" ref="O4:O20" si="2">COUNTIF($H$42:$H$343,G4)</f>
        <v>0</v>
      </c>
      <c r="P4" s="2">
        <f>I4*O4</f>
        <v>0</v>
      </c>
      <c r="Q4" s="2">
        <f>H4*I4</f>
        <v>0</v>
      </c>
      <c r="T4" s="2" t="b">
        <f>H4&lt;=O4</f>
        <v>1</v>
      </c>
    </row>
    <row r="5" spans="1:20" ht="15.75" customHeight="1" thickTop="1" x14ac:dyDescent="0.25">
      <c r="A5" s="6"/>
      <c r="B5" s="13"/>
      <c r="C5" s="20" t="s">
        <v>10</v>
      </c>
      <c r="D5" s="311"/>
      <c r="E5" s="312"/>
      <c r="F5" s="313" t="str">
        <f>IF(AND(F4&lt;=90%,F4&gt;70%,H12=0,H13=0,H14=0),"Attention Required !",IF(AND(F4&lt;=95%,F4&gt;90%,H12=0,H13=0,H14=0),"Keep it up !",IF(AND(F4&lt;100%,F4&gt;95%,H12=0,H13=0,H14=0),"Just missed !",(IF(F4=100%,"Bravo !! ","High alert !")))))</f>
        <v xml:space="preserve">Bravo !! </v>
      </c>
      <c r="G5" s="22" t="s">
        <v>11</v>
      </c>
      <c r="H5" s="23">
        <f t="shared" si="0"/>
        <v>0</v>
      </c>
      <c r="I5" s="24">
        <v>5</v>
      </c>
      <c r="J5" s="18"/>
      <c r="K5" s="7"/>
      <c r="L5" s="25">
        <f t="shared" si="1"/>
        <v>25</v>
      </c>
      <c r="M5" s="2">
        <f t="shared" ref="M5:M20" si="3">L5*H5</f>
        <v>0</v>
      </c>
      <c r="O5" s="23">
        <f t="shared" si="2"/>
        <v>0</v>
      </c>
      <c r="P5" s="2">
        <f t="shared" ref="P5:P20" si="4">I5*O5</f>
        <v>0</v>
      </c>
      <c r="Q5" s="2">
        <f t="shared" ref="Q5:Q20" si="5">H5*I5</f>
        <v>0</v>
      </c>
      <c r="T5" s="2" t="b">
        <f t="shared" ref="T5:T20" si="6">H5&lt;=O5</f>
        <v>1</v>
      </c>
    </row>
    <row r="6" spans="1:20" ht="15.75" customHeight="1" thickBot="1" x14ac:dyDescent="0.3">
      <c r="A6" s="6"/>
      <c r="B6" s="13"/>
      <c r="C6" s="20" t="s">
        <v>12</v>
      </c>
      <c r="D6" s="311"/>
      <c r="E6" s="312"/>
      <c r="F6" s="314"/>
      <c r="G6" s="22" t="s">
        <v>13</v>
      </c>
      <c r="H6" s="23">
        <f t="shared" si="0"/>
        <v>0</v>
      </c>
      <c r="I6" s="24">
        <v>3</v>
      </c>
      <c r="J6" s="18"/>
      <c r="K6" s="7"/>
      <c r="L6" s="25">
        <f t="shared" si="1"/>
        <v>15</v>
      </c>
      <c r="M6" s="2">
        <f t="shared" si="3"/>
        <v>0</v>
      </c>
      <c r="O6" s="23">
        <f t="shared" si="2"/>
        <v>0</v>
      </c>
      <c r="P6" s="2">
        <f t="shared" si="4"/>
        <v>0</v>
      </c>
      <c r="Q6" s="2">
        <f t="shared" si="5"/>
        <v>0</v>
      </c>
      <c r="T6" s="2" t="b">
        <f t="shared" si="6"/>
        <v>1</v>
      </c>
    </row>
    <row r="7" spans="1:20" ht="15.75" thickTop="1" x14ac:dyDescent="0.25">
      <c r="A7" s="6"/>
      <c r="B7" s="13"/>
      <c r="C7" s="20" t="s">
        <v>14</v>
      </c>
      <c r="D7" s="26">
        <v>20</v>
      </c>
      <c r="E7" s="27"/>
      <c r="F7" s="4"/>
      <c r="G7" s="22" t="s">
        <v>15</v>
      </c>
      <c r="H7" s="23">
        <f t="shared" si="0"/>
        <v>0</v>
      </c>
      <c r="I7" s="24">
        <v>2</v>
      </c>
      <c r="J7" s="18"/>
      <c r="K7" s="7"/>
      <c r="L7" s="25">
        <f t="shared" si="1"/>
        <v>10</v>
      </c>
      <c r="M7" s="2">
        <f t="shared" si="3"/>
        <v>0</v>
      </c>
      <c r="O7" s="23">
        <f t="shared" si="2"/>
        <v>0</v>
      </c>
      <c r="P7" s="2">
        <f t="shared" si="4"/>
        <v>0</v>
      </c>
      <c r="Q7" s="2">
        <f t="shared" si="5"/>
        <v>0</v>
      </c>
      <c r="T7" s="2" t="b">
        <f t="shared" si="6"/>
        <v>1</v>
      </c>
    </row>
    <row r="8" spans="1:20" ht="15.75" x14ac:dyDescent="0.25">
      <c r="A8" s="6"/>
      <c r="B8" s="13"/>
      <c r="C8" s="28"/>
      <c r="D8" s="29"/>
      <c r="E8" s="30"/>
      <c r="F8" s="31"/>
      <c r="G8" s="22" t="s">
        <v>16</v>
      </c>
      <c r="H8" s="23">
        <f t="shared" si="0"/>
        <v>0</v>
      </c>
      <c r="I8" s="24">
        <v>3</v>
      </c>
      <c r="J8" s="18"/>
      <c r="K8" s="7"/>
      <c r="L8" s="25">
        <f t="shared" si="1"/>
        <v>15</v>
      </c>
      <c r="M8" s="2">
        <f t="shared" si="3"/>
        <v>0</v>
      </c>
      <c r="O8" s="23">
        <f t="shared" si="2"/>
        <v>0</v>
      </c>
      <c r="P8" s="2">
        <f t="shared" si="4"/>
        <v>0</v>
      </c>
      <c r="Q8" s="2">
        <f t="shared" si="5"/>
        <v>0</v>
      </c>
      <c r="T8" s="2" t="b">
        <f t="shared" si="6"/>
        <v>1</v>
      </c>
    </row>
    <row r="9" spans="1:20" ht="15.75" x14ac:dyDescent="0.25">
      <c r="A9" s="6"/>
      <c r="B9" s="13"/>
      <c r="C9" s="32"/>
      <c r="D9" s="5"/>
      <c r="E9" s="30"/>
      <c r="F9" s="31"/>
      <c r="G9" s="22" t="s">
        <v>17</v>
      </c>
      <c r="H9" s="23">
        <f t="shared" si="0"/>
        <v>0</v>
      </c>
      <c r="I9" s="24">
        <v>1</v>
      </c>
      <c r="J9" s="18"/>
      <c r="K9" s="7"/>
      <c r="L9" s="25">
        <f t="shared" si="1"/>
        <v>5</v>
      </c>
      <c r="M9" s="2">
        <f t="shared" si="3"/>
        <v>0</v>
      </c>
      <c r="O9" s="23">
        <f t="shared" si="2"/>
        <v>0</v>
      </c>
      <c r="P9" s="2">
        <f t="shared" si="4"/>
        <v>0</v>
      </c>
      <c r="Q9" s="2">
        <f t="shared" si="5"/>
        <v>0</v>
      </c>
      <c r="T9" s="2" t="b">
        <f t="shared" si="6"/>
        <v>1</v>
      </c>
    </row>
    <row r="10" spans="1:20" ht="16.5" thickBot="1" x14ac:dyDescent="0.3">
      <c r="A10" s="6"/>
      <c r="B10" s="13"/>
      <c r="C10" s="33"/>
      <c r="D10" s="3"/>
      <c r="E10" s="30"/>
      <c r="F10" s="31"/>
      <c r="G10" s="22" t="s">
        <v>18</v>
      </c>
      <c r="H10" s="23">
        <f t="shared" si="0"/>
        <v>0</v>
      </c>
      <c r="I10" s="24">
        <v>1</v>
      </c>
      <c r="J10" s="18"/>
      <c r="K10" s="7"/>
      <c r="L10" s="25">
        <f t="shared" si="1"/>
        <v>5</v>
      </c>
      <c r="M10" s="2">
        <f t="shared" si="3"/>
        <v>0</v>
      </c>
      <c r="O10" s="23">
        <f t="shared" si="2"/>
        <v>0</v>
      </c>
      <c r="P10" s="2">
        <f t="shared" si="4"/>
        <v>0</v>
      </c>
      <c r="Q10" s="2">
        <f t="shared" si="5"/>
        <v>0</v>
      </c>
      <c r="T10" s="2" t="b">
        <f t="shared" si="6"/>
        <v>1</v>
      </c>
    </row>
    <row r="11" spans="1:20" ht="17.25" thickTop="1" thickBot="1" x14ac:dyDescent="0.3">
      <c r="A11" s="6"/>
      <c r="B11" s="13"/>
      <c r="C11" s="35" t="s">
        <v>19</v>
      </c>
      <c r="D11" s="36"/>
      <c r="E11" s="37" t="s">
        <v>20</v>
      </c>
      <c r="F11" s="31"/>
      <c r="G11" s="22" t="s">
        <v>22</v>
      </c>
      <c r="H11" s="23">
        <f t="shared" si="0"/>
        <v>0</v>
      </c>
      <c r="I11" s="24">
        <v>0.25</v>
      </c>
      <c r="J11" s="18"/>
      <c r="K11" s="7"/>
      <c r="L11" s="25">
        <f t="shared" si="1"/>
        <v>1.25</v>
      </c>
      <c r="M11" s="2">
        <f t="shared" si="3"/>
        <v>0</v>
      </c>
      <c r="O11" s="23">
        <f t="shared" si="2"/>
        <v>0</v>
      </c>
      <c r="P11" s="2">
        <f t="shared" si="4"/>
        <v>0</v>
      </c>
      <c r="Q11" s="2">
        <f t="shared" si="5"/>
        <v>0</v>
      </c>
      <c r="T11" s="2" t="b">
        <f t="shared" si="6"/>
        <v>1</v>
      </c>
    </row>
    <row r="12" spans="1:20" ht="17.25" thickTop="1" thickBot="1" x14ac:dyDescent="0.3">
      <c r="A12" s="6"/>
      <c r="B12" s="13"/>
      <c r="C12" s="35" t="s">
        <v>23</v>
      </c>
      <c r="D12" s="36"/>
      <c r="E12" s="37" t="s">
        <v>20</v>
      </c>
      <c r="F12" s="31"/>
      <c r="G12" s="22" t="s">
        <v>24</v>
      </c>
      <c r="H12" s="23">
        <f t="shared" si="0"/>
        <v>0</v>
      </c>
      <c r="I12" s="24">
        <v>1</v>
      </c>
      <c r="J12" s="18"/>
      <c r="K12" s="7"/>
      <c r="L12" s="25">
        <f t="shared" si="1"/>
        <v>5</v>
      </c>
      <c r="M12" s="2">
        <f t="shared" si="3"/>
        <v>0</v>
      </c>
      <c r="O12" s="23">
        <f t="shared" si="2"/>
        <v>0</v>
      </c>
      <c r="P12" s="2">
        <f t="shared" si="4"/>
        <v>0</v>
      </c>
      <c r="Q12" s="2">
        <f t="shared" si="5"/>
        <v>0</v>
      </c>
      <c r="T12" s="2" t="b">
        <f t="shared" si="6"/>
        <v>1</v>
      </c>
    </row>
    <row r="13" spans="1:20" ht="17.25" thickTop="1" thickBot="1" x14ac:dyDescent="0.3">
      <c r="A13" s="6"/>
      <c r="B13" s="13"/>
      <c r="C13" s="35" t="s">
        <v>25</v>
      </c>
      <c r="D13" s="36"/>
      <c r="E13" s="37" t="s">
        <v>20</v>
      </c>
      <c r="F13" s="31"/>
      <c r="G13" s="22" t="s">
        <v>26</v>
      </c>
      <c r="H13" s="23">
        <f t="shared" si="0"/>
        <v>0</v>
      </c>
      <c r="I13" s="24">
        <v>1</v>
      </c>
      <c r="J13" s="18"/>
      <c r="K13" s="7"/>
      <c r="L13" s="25">
        <f t="shared" si="1"/>
        <v>5</v>
      </c>
      <c r="M13" s="2">
        <f t="shared" si="3"/>
        <v>0</v>
      </c>
      <c r="O13" s="23">
        <f t="shared" si="2"/>
        <v>0</v>
      </c>
      <c r="P13" s="2">
        <f t="shared" si="4"/>
        <v>0</v>
      </c>
      <c r="Q13" s="2">
        <f t="shared" si="5"/>
        <v>0</v>
      </c>
      <c r="T13" s="2" t="b">
        <f t="shared" si="6"/>
        <v>1</v>
      </c>
    </row>
    <row r="14" spans="1:20" ht="17.25" thickTop="1" thickBot="1" x14ac:dyDescent="0.3">
      <c r="A14" s="6"/>
      <c r="B14" s="13"/>
      <c r="C14" s="39" t="s">
        <v>27</v>
      </c>
      <c r="D14" s="36"/>
      <c r="E14" s="37" t="s">
        <v>20</v>
      </c>
      <c r="F14" s="31"/>
      <c r="G14" s="22" t="s">
        <v>28</v>
      </c>
      <c r="H14" s="23">
        <f t="shared" si="0"/>
        <v>0</v>
      </c>
      <c r="I14" s="24">
        <v>5.0000000000000001E-3</v>
      </c>
      <c r="J14" s="18"/>
      <c r="K14" s="7"/>
      <c r="L14" s="25">
        <f t="shared" si="1"/>
        <v>2.5000000000000001E-2</v>
      </c>
      <c r="M14" s="2">
        <f t="shared" si="3"/>
        <v>0</v>
      </c>
      <c r="O14" s="23">
        <f t="shared" si="2"/>
        <v>0</v>
      </c>
      <c r="P14" s="2">
        <f t="shared" si="4"/>
        <v>0</v>
      </c>
      <c r="Q14" s="2">
        <f t="shared" si="5"/>
        <v>0</v>
      </c>
      <c r="T14" s="2" t="b">
        <f t="shared" si="6"/>
        <v>1</v>
      </c>
    </row>
    <row r="15" spans="1:20" ht="16.5" thickTop="1" x14ac:dyDescent="0.25">
      <c r="A15" s="6"/>
      <c r="B15" s="13"/>
      <c r="C15" s="40"/>
      <c r="D15" s="36"/>
      <c r="E15" s="41"/>
      <c r="F15" s="31"/>
      <c r="G15" s="22" t="s">
        <v>29</v>
      </c>
      <c r="H15" s="23">
        <f t="shared" si="0"/>
        <v>0</v>
      </c>
      <c r="I15" s="24">
        <v>5.0000000000000001E-3</v>
      </c>
      <c r="J15" s="18"/>
      <c r="K15" s="7"/>
      <c r="L15" s="25">
        <f t="shared" si="1"/>
        <v>2.5000000000000001E-2</v>
      </c>
      <c r="M15" s="2">
        <f t="shared" si="3"/>
        <v>0</v>
      </c>
      <c r="O15" s="23">
        <f t="shared" si="2"/>
        <v>0</v>
      </c>
      <c r="P15" s="2">
        <f t="shared" si="4"/>
        <v>0</v>
      </c>
      <c r="Q15" s="2">
        <f t="shared" si="5"/>
        <v>0</v>
      </c>
      <c r="T15" s="2" t="b">
        <f t="shared" si="6"/>
        <v>1</v>
      </c>
    </row>
    <row r="16" spans="1:20" ht="15.75" x14ac:dyDescent="0.25">
      <c r="A16" s="6"/>
      <c r="B16" s="13"/>
      <c r="C16" s="40"/>
      <c r="D16" s="36"/>
      <c r="E16" s="41"/>
      <c r="F16" s="31"/>
      <c r="G16" s="22" t="s">
        <v>30</v>
      </c>
      <c r="H16" s="23">
        <f t="shared" si="0"/>
        <v>0</v>
      </c>
      <c r="I16" s="24">
        <v>1</v>
      </c>
      <c r="J16" s="18"/>
      <c r="K16" s="7"/>
      <c r="L16" s="25">
        <f t="shared" si="1"/>
        <v>5</v>
      </c>
      <c r="M16" s="2">
        <f t="shared" si="3"/>
        <v>0</v>
      </c>
      <c r="O16" s="23">
        <f t="shared" si="2"/>
        <v>0</v>
      </c>
      <c r="P16" s="2">
        <f t="shared" si="4"/>
        <v>0</v>
      </c>
      <c r="Q16" s="2">
        <f t="shared" si="5"/>
        <v>0</v>
      </c>
      <c r="T16" s="2" t="b">
        <f t="shared" si="6"/>
        <v>1</v>
      </c>
    </row>
    <row r="17" spans="1:20" x14ac:dyDescent="0.25">
      <c r="A17" s="6"/>
      <c r="B17" s="13"/>
      <c r="C17" s="40"/>
      <c r="D17" s="36"/>
      <c r="E17" s="41"/>
      <c r="F17" s="4"/>
      <c r="G17" s="22" t="s">
        <v>31</v>
      </c>
      <c r="H17" s="23">
        <f t="shared" si="0"/>
        <v>0</v>
      </c>
      <c r="I17" s="24">
        <v>5.0000000000000001E-3</v>
      </c>
      <c r="J17" s="18"/>
      <c r="K17" s="7"/>
      <c r="L17" s="25">
        <f t="shared" si="1"/>
        <v>2.5000000000000001E-2</v>
      </c>
      <c r="M17" s="2">
        <f t="shared" si="3"/>
        <v>0</v>
      </c>
      <c r="O17" s="23">
        <f t="shared" si="2"/>
        <v>0</v>
      </c>
      <c r="P17" s="2">
        <f t="shared" si="4"/>
        <v>0</v>
      </c>
      <c r="Q17" s="2">
        <f t="shared" si="5"/>
        <v>0</v>
      </c>
      <c r="T17" s="2" t="b">
        <f t="shared" si="6"/>
        <v>1</v>
      </c>
    </row>
    <row r="18" spans="1:20" x14ac:dyDescent="0.25">
      <c r="A18" s="6"/>
      <c r="B18" s="13"/>
      <c r="C18" s="42"/>
      <c r="D18" s="43"/>
      <c r="E18" s="44"/>
      <c r="F18" s="4"/>
      <c r="G18" s="22" t="s">
        <v>32</v>
      </c>
      <c r="H18" s="23">
        <f t="shared" si="0"/>
        <v>0</v>
      </c>
      <c r="I18" s="24">
        <v>1</v>
      </c>
      <c r="J18" s="18"/>
      <c r="K18" s="7"/>
      <c r="L18" s="25">
        <f t="shared" si="1"/>
        <v>5</v>
      </c>
      <c r="M18" s="2">
        <f t="shared" si="3"/>
        <v>0</v>
      </c>
      <c r="O18" s="23">
        <f t="shared" si="2"/>
        <v>0</v>
      </c>
      <c r="P18" s="2">
        <f t="shared" si="4"/>
        <v>0</v>
      </c>
      <c r="Q18" s="2">
        <f t="shared" si="5"/>
        <v>0</v>
      </c>
      <c r="T18" s="2" t="b">
        <f t="shared" si="6"/>
        <v>1</v>
      </c>
    </row>
    <row r="19" spans="1:20" x14ac:dyDescent="0.25">
      <c r="A19" s="6"/>
      <c r="B19" s="13"/>
      <c r="C19" s="3"/>
      <c r="D19" s="3"/>
      <c r="E19" s="4"/>
      <c r="F19" s="310" t="str">
        <f>IF(T21=17,"","ERROR!! (ISSUE COUNT UNFAIR)")</f>
        <v/>
      </c>
      <c r="G19" s="22" t="s">
        <v>33</v>
      </c>
      <c r="H19" s="23">
        <f t="shared" si="0"/>
        <v>0</v>
      </c>
      <c r="I19" s="24">
        <v>0</v>
      </c>
      <c r="J19" s="18"/>
      <c r="K19" s="7"/>
      <c r="L19" s="25">
        <f t="shared" si="1"/>
        <v>0</v>
      </c>
      <c r="M19" s="2">
        <f t="shared" si="3"/>
        <v>0</v>
      </c>
      <c r="O19" s="23">
        <f t="shared" si="2"/>
        <v>0</v>
      </c>
      <c r="P19" s="2">
        <f t="shared" si="4"/>
        <v>0</v>
      </c>
      <c r="Q19" s="2">
        <f t="shared" si="5"/>
        <v>0</v>
      </c>
      <c r="T19" s="2" t="b">
        <f t="shared" si="6"/>
        <v>1</v>
      </c>
    </row>
    <row r="20" spans="1:20" x14ac:dyDescent="0.25">
      <c r="A20" s="6"/>
      <c r="B20" s="13"/>
      <c r="C20" s="3"/>
      <c r="D20" s="3"/>
      <c r="E20" s="4"/>
      <c r="F20" s="310"/>
      <c r="G20" s="22"/>
      <c r="H20" s="23">
        <f t="shared" si="0"/>
        <v>0</v>
      </c>
      <c r="I20" s="24">
        <f>A1</f>
        <v>0</v>
      </c>
      <c r="J20" s="18"/>
      <c r="K20" s="7"/>
      <c r="L20" s="25">
        <f t="shared" si="1"/>
        <v>0</v>
      </c>
      <c r="M20" s="2">
        <f t="shared" si="3"/>
        <v>0</v>
      </c>
      <c r="O20" s="23">
        <f t="shared" si="2"/>
        <v>0</v>
      </c>
      <c r="P20" s="2">
        <f t="shared" si="4"/>
        <v>0</v>
      </c>
      <c r="Q20" s="2">
        <f t="shared" si="5"/>
        <v>0</v>
      </c>
      <c r="T20" s="2" t="b">
        <f t="shared" si="6"/>
        <v>1</v>
      </c>
    </row>
    <row r="21" spans="1:20" ht="15.75" hidden="1" thickBot="1" x14ac:dyDescent="0.3">
      <c r="A21" s="6"/>
      <c r="B21" s="13"/>
      <c r="C21" s="7"/>
      <c r="D21" s="7"/>
      <c r="E21" s="45"/>
      <c r="F21" s="4"/>
      <c r="G21" s="46"/>
      <c r="H21" s="47">
        <f>IF((100-M21)/100&lt;0,"0%",(100-M21)/100)</f>
        <v>1</v>
      </c>
      <c r="I21" s="48"/>
      <c r="J21" s="18"/>
      <c r="K21" s="7"/>
      <c r="L21" s="49">
        <f>SUM(L4:L20)</f>
        <v>121.32500000000002</v>
      </c>
      <c r="M21" s="7">
        <f>SUM(M4:M20)</f>
        <v>0</v>
      </c>
      <c r="N21" s="7"/>
      <c r="O21" s="47">
        <f>IF(1-P22&lt;0,0%,1-P22)</f>
        <v>1</v>
      </c>
      <c r="P21" s="50">
        <f>SUM(P4:P20)</f>
        <v>0</v>
      </c>
      <c r="Q21" s="51">
        <f>SUM(Q4:Q20)</f>
        <v>0</v>
      </c>
      <c r="T21" s="2">
        <f>COUNTIF(T4:T20,"TRUE")</f>
        <v>17</v>
      </c>
    </row>
    <row r="22" spans="1:20" s="59" customFormat="1" ht="15.75" thickBot="1" x14ac:dyDescent="0.3">
      <c r="A22" s="52"/>
      <c r="B22" s="53"/>
      <c r="C22" s="54"/>
      <c r="D22" s="54"/>
      <c r="E22" s="55"/>
      <c r="F22" s="55"/>
      <c r="G22" s="54"/>
      <c r="H22" s="56"/>
      <c r="I22" s="57"/>
      <c r="J22" s="58"/>
      <c r="K22" s="3"/>
      <c r="P22" s="59">
        <f>IF(ISERROR(Q21/P21),0,Q21/P21)</f>
        <v>0</v>
      </c>
    </row>
    <row r="23" spans="1:20" s="59" customFormat="1" x14ac:dyDescent="0.25">
      <c r="A23" s="52"/>
      <c r="B23" s="3"/>
      <c r="C23" s="3"/>
      <c r="D23" s="3"/>
      <c r="E23" s="4"/>
      <c r="F23" s="4"/>
      <c r="G23" s="3"/>
      <c r="H23" s="5"/>
      <c r="I23" s="60"/>
      <c r="J23" s="3"/>
      <c r="K23" s="3"/>
    </row>
    <row r="24" spans="1:20" s="59" customFormat="1" hidden="1" x14ac:dyDescent="0.25">
      <c r="A24" s="52"/>
      <c r="B24" s="3"/>
      <c r="C24" s="3"/>
      <c r="D24" s="3"/>
      <c r="E24" s="4"/>
      <c r="F24" s="4"/>
      <c r="G24" s="22" t="s">
        <v>9</v>
      </c>
      <c r="H24" s="5"/>
      <c r="I24" s="60"/>
      <c r="J24" s="3"/>
      <c r="K24" s="3"/>
    </row>
    <row r="25" spans="1:20" s="59" customFormat="1" hidden="1" x14ac:dyDescent="0.25">
      <c r="A25" s="52"/>
      <c r="B25" s="3"/>
      <c r="C25" s="3"/>
      <c r="D25" s="3"/>
      <c r="E25" s="4"/>
      <c r="F25" s="4"/>
      <c r="G25" s="22" t="s">
        <v>11</v>
      </c>
      <c r="H25" s="5"/>
      <c r="I25" s="60"/>
      <c r="J25" s="3"/>
      <c r="K25" s="3"/>
    </row>
    <row r="26" spans="1:20" s="59" customFormat="1" hidden="1" x14ac:dyDescent="0.25">
      <c r="A26" s="52"/>
      <c r="B26" s="3"/>
      <c r="C26" s="3"/>
      <c r="D26" s="3"/>
      <c r="E26" s="4"/>
      <c r="F26" s="4"/>
      <c r="G26" s="22" t="s">
        <v>13</v>
      </c>
      <c r="H26" s="5"/>
      <c r="I26" s="60"/>
      <c r="J26" s="3"/>
      <c r="K26" s="3"/>
    </row>
    <row r="27" spans="1:20" s="59" customFormat="1" hidden="1" x14ac:dyDescent="0.25">
      <c r="A27" s="52"/>
      <c r="B27" s="3"/>
      <c r="C27" s="3"/>
      <c r="D27" s="3"/>
      <c r="E27" s="4"/>
      <c r="F27" s="4"/>
      <c r="G27" s="22" t="s">
        <v>15</v>
      </c>
      <c r="H27" s="5"/>
      <c r="I27" s="60"/>
      <c r="J27" s="3"/>
      <c r="K27" s="3"/>
    </row>
    <row r="28" spans="1:20" s="59" customFormat="1" hidden="1" x14ac:dyDescent="0.25">
      <c r="A28" s="52"/>
      <c r="B28" s="3"/>
      <c r="C28" s="3"/>
      <c r="D28" s="3"/>
      <c r="E28" s="4"/>
      <c r="F28" s="4"/>
      <c r="G28" s="22" t="s">
        <v>16</v>
      </c>
      <c r="H28" s="5"/>
      <c r="I28" s="60"/>
      <c r="J28" s="3"/>
      <c r="K28" s="3"/>
    </row>
    <row r="29" spans="1:20" s="59" customFormat="1" hidden="1" x14ac:dyDescent="0.25">
      <c r="A29" s="52"/>
      <c r="B29" s="3"/>
      <c r="C29" s="3"/>
      <c r="D29" s="3"/>
      <c r="E29" s="4"/>
      <c r="F29" s="4"/>
      <c r="G29" s="22" t="s">
        <v>17</v>
      </c>
      <c r="H29" s="5"/>
      <c r="I29" s="60"/>
      <c r="J29" s="3"/>
      <c r="K29" s="3"/>
    </row>
    <row r="30" spans="1:20" s="59" customFormat="1" hidden="1" x14ac:dyDescent="0.25">
      <c r="A30" s="52"/>
      <c r="B30" s="3"/>
      <c r="C30" s="3"/>
      <c r="D30" s="3"/>
      <c r="E30" s="4"/>
      <c r="F30" s="4"/>
      <c r="G30" s="22" t="s">
        <v>18</v>
      </c>
      <c r="H30" s="5"/>
      <c r="I30" s="60"/>
      <c r="J30" s="3"/>
      <c r="K30" s="3"/>
    </row>
    <row r="31" spans="1:20" s="59" customFormat="1" hidden="1" x14ac:dyDescent="0.25">
      <c r="A31" s="52"/>
      <c r="B31" s="3"/>
      <c r="C31" s="3"/>
      <c r="D31" s="3"/>
      <c r="E31" s="4"/>
      <c r="F31" s="4"/>
      <c r="G31" s="22" t="s">
        <v>22</v>
      </c>
      <c r="H31" s="5"/>
      <c r="I31" s="60"/>
      <c r="J31" s="3"/>
      <c r="K31" s="3"/>
    </row>
    <row r="32" spans="1:20" s="59" customFormat="1" hidden="1" x14ac:dyDescent="0.25">
      <c r="A32" s="52"/>
      <c r="B32" s="3"/>
      <c r="C32" s="3"/>
      <c r="D32" s="3"/>
      <c r="E32" s="4"/>
      <c r="F32" s="4"/>
      <c r="G32" s="22" t="s">
        <v>24</v>
      </c>
      <c r="H32" s="5"/>
      <c r="I32" s="60"/>
      <c r="J32" s="3"/>
      <c r="K32" s="3"/>
    </row>
    <row r="33" spans="1:11" s="59" customFormat="1" hidden="1" x14ac:dyDescent="0.25">
      <c r="A33" s="52"/>
      <c r="B33" s="3"/>
      <c r="C33" s="3"/>
      <c r="D33" s="3"/>
      <c r="E33" s="4"/>
      <c r="F33" s="4"/>
      <c r="G33" s="22" t="s">
        <v>26</v>
      </c>
      <c r="H33" s="5"/>
      <c r="I33" s="60"/>
      <c r="J33" s="3"/>
      <c r="K33" s="3"/>
    </row>
    <row r="34" spans="1:11" s="59" customFormat="1" hidden="1" x14ac:dyDescent="0.25">
      <c r="A34" s="52"/>
      <c r="B34" s="3"/>
      <c r="C34" s="3"/>
      <c r="D34" s="3"/>
      <c r="E34" s="4"/>
      <c r="F34" s="4"/>
      <c r="G34" s="22" t="s">
        <v>28</v>
      </c>
      <c r="H34" s="5"/>
      <c r="I34" s="60"/>
      <c r="J34" s="3"/>
      <c r="K34" s="3"/>
    </row>
    <row r="35" spans="1:11" s="59" customFormat="1" hidden="1" x14ac:dyDescent="0.25">
      <c r="A35" s="52"/>
      <c r="B35" s="3"/>
      <c r="C35" s="3"/>
      <c r="D35" s="3"/>
      <c r="E35" s="4"/>
      <c r="F35" s="4"/>
      <c r="G35" s="22" t="s">
        <v>29</v>
      </c>
      <c r="H35" s="5"/>
      <c r="I35" s="60"/>
      <c r="J35" s="3"/>
      <c r="K35" s="3"/>
    </row>
    <row r="36" spans="1:11" s="59" customFormat="1" hidden="1" x14ac:dyDescent="0.25">
      <c r="A36" s="52"/>
      <c r="B36" s="3"/>
      <c r="C36" s="3"/>
      <c r="D36" s="3"/>
      <c r="E36" s="4"/>
      <c r="F36" s="4"/>
      <c r="G36" s="22" t="s">
        <v>30</v>
      </c>
      <c r="H36" s="5"/>
      <c r="I36" s="60"/>
      <c r="J36" s="3"/>
      <c r="K36" s="3"/>
    </row>
    <row r="37" spans="1:11" s="59" customFormat="1" hidden="1" x14ac:dyDescent="0.25">
      <c r="A37" s="52"/>
      <c r="B37" s="3"/>
      <c r="C37" s="3"/>
      <c r="D37" s="3"/>
      <c r="E37" s="4"/>
      <c r="F37" s="4"/>
      <c r="G37" s="22" t="s">
        <v>31</v>
      </c>
      <c r="H37" s="5"/>
      <c r="I37" s="60"/>
      <c r="J37" s="3"/>
      <c r="K37" s="3"/>
    </row>
    <row r="38" spans="1:11" s="59" customFormat="1" hidden="1" x14ac:dyDescent="0.25">
      <c r="A38" s="52"/>
      <c r="B38" s="3"/>
      <c r="C38" s="3"/>
      <c r="D38" s="3"/>
      <c r="E38" s="4"/>
      <c r="F38" s="4"/>
      <c r="G38" s="22" t="s">
        <v>32</v>
      </c>
      <c r="H38" s="5"/>
      <c r="I38" s="60"/>
      <c r="J38" s="3"/>
      <c r="K38" s="3"/>
    </row>
    <row r="39" spans="1:11" s="59" customFormat="1" hidden="1" x14ac:dyDescent="0.25">
      <c r="A39" s="52"/>
      <c r="B39" s="3"/>
      <c r="C39" s="3"/>
      <c r="D39" s="3"/>
      <c r="E39" s="4"/>
      <c r="F39" s="4"/>
      <c r="G39" s="22" t="s">
        <v>33</v>
      </c>
      <c r="H39" s="5"/>
      <c r="I39" s="60"/>
      <c r="J39" s="3"/>
      <c r="K39" s="3"/>
    </row>
    <row r="40" spans="1:11" ht="18.75" x14ac:dyDescent="0.3">
      <c r="C40" s="61"/>
      <c r="D40" s="2"/>
      <c r="E40" s="62"/>
      <c r="F40" s="62"/>
      <c r="G40" s="61"/>
      <c r="H40" s="63"/>
    </row>
    <row r="41" spans="1:11" s="64" customFormat="1" ht="47.25" x14ac:dyDescent="0.25">
      <c r="C41" s="65" t="s">
        <v>34</v>
      </c>
      <c r="D41" s="65" t="s">
        <v>35</v>
      </c>
      <c r="E41" s="66" t="s">
        <v>36</v>
      </c>
      <c r="F41" s="66" t="s">
        <v>37</v>
      </c>
      <c r="G41" s="65" t="s">
        <v>2</v>
      </c>
      <c r="H41" s="66" t="s">
        <v>38</v>
      </c>
    </row>
    <row r="42" spans="1:11" x14ac:dyDescent="0.25">
      <c r="A42" s="67"/>
      <c r="C42" s="68"/>
      <c r="D42" s="69"/>
      <c r="E42" s="70"/>
      <c r="F42" s="70"/>
      <c r="G42" s="71"/>
      <c r="H42" s="71"/>
    </row>
    <row r="43" spans="1:11" x14ac:dyDescent="0.25">
      <c r="C43" s="68"/>
      <c r="D43" s="69"/>
      <c r="E43" s="70"/>
      <c r="F43" s="70"/>
      <c r="G43" s="71"/>
      <c r="H43" s="71"/>
    </row>
    <row r="44" spans="1:11" x14ac:dyDescent="0.25">
      <c r="C44" s="68"/>
      <c r="D44" s="69"/>
      <c r="E44" s="70"/>
      <c r="F44" s="70"/>
      <c r="G44" s="71"/>
      <c r="H44" s="71"/>
    </row>
    <row r="45" spans="1:11" x14ac:dyDescent="0.25">
      <c r="C45" s="68"/>
      <c r="D45" s="69"/>
      <c r="E45" s="70"/>
      <c r="F45" s="70"/>
      <c r="G45" s="72"/>
      <c r="H45" s="71"/>
    </row>
    <row r="46" spans="1:11" x14ac:dyDescent="0.25">
      <c r="C46" s="68"/>
      <c r="D46" s="69"/>
      <c r="E46" s="70"/>
      <c r="F46" s="70"/>
      <c r="G46" s="72"/>
      <c r="H46" s="71"/>
    </row>
    <row r="47" spans="1:11" x14ac:dyDescent="0.25">
      <c r="C47" s="68"/>
      <c r="D47" s="69"/>
      <c r="E47" s="70"/>
      <c r="F47" s="70"/>
      <c r="G47" s="72"/>
      <c r="H47" s="71"/>
    </row>
    <row r="48" spans="1:11" x14ac:dyDescent="0.25">
      <c r="C48" s="68"/>
      <c r="D48" s="69"/>
      <c r="E48" s="70"/>
      <c r="F48" s="70"/>
      <c r="G48" s="72"/>
      <c r="H48" s="71"/>
    </row>
    <row r="49" spans="3:8" x14ac:dyDescent="0.25">
      <c r="C49" s="68"/>
      <c r="D49" s="69"/>
      <c r="E49" s="70"/>
      <c r="F49" s="70"/>
      <c r="G49" s="72"/>
      <c r="H49" s="71"/>
    </row>
    <row r="50" spans="3:8" x14ac:dyDescent="0.25">
      <c r="C50" s="73"/>
      <c r="D50" s="73"/>
      <c r="E50" s="74"/>
      <c r="F50" s="74"/>
      <c r="G50" s="72"/>
      <c r="H50" s="71"/>
    </row>
    <row r="51" spans="3:8" x14ac:dyDescent="0.25">
      <c r="C51" s="73"/>
      <c r="D51" s="73"/>
      <c r="E51" s="74"/>
      <c r="F51" s="74"/>
      <c r="G51" s="72"/>
      <c r="H51" s="71"/>
    </row>
    <row r="52" spans="3:8" x14ac:dyDescent="0.25">
      <c r="C52" s="73"/>
      <c r="D52" s="73"/>
      <c r="E52" s="74"/>
      <c r="F52" s="74"/>
      <c r="G52" s="72"/>
      <c r="H52" s="71"/>
    </row>
    <row r="53" spans="3:8" x14ac:dyDescent="0.25">
      <c r="C53" s="73"/>
      <c r="D53" s="73"/>
      <c r="E53" s="74"/>
      <c r="F53" s="74"/>
      <c r="G53" s="72"/>
      <c r="H53" s="71"/>
    </row>
    <row r="54" spans="3:8" x14ac:dyDescent="0.25">
      <c r="C54" s="73"/>
      <c r="D54" s="73"/>
      <c r="E54" s="74"/>
      <c r="F54" s="74"/>
      <c r="G54" s="72"/>
      <c r="H54" s="75"/>
    </row>
    <row r="55" spans="3:8" x14ac:dyDescent="0.25">
      <c r="C55" s="73"/>
      <c r="D55" s="73"/>
      <c r="E55" s="74"/>
      <c r="F55" s="74"/>
      <c r="H55" s="75"/>
    </row>
    <row r="56" spans="3:8" x14ac:dyDescent="0.25">
      <c r="C56" s="73"/>
      <c r="D56" s="73"/>
      <c r="E56" s="74"/>
      <c r="F56" s="74"/>
      <c r="H56" s="75"/>
    </row>
    <row r="57" spans="3:8" x14ac:dyDescent="0.25">
      <c r="C57" s="73"/>
      <c r="D57" s="73"/>
      <c r="E57" s="74"/>
      <c r="F57" s="74"/>
      <c r="H57" s="75"/>
    </row>
    <row r="58" spans="3:8" x14ac:dyDescent="0.25">
      <c r="C58" s="73"/>
      <c r="D58" s="73"/>
      <c r="E58" s="74"/>
      <c r="F58" s="74"/>
      <c r="H58" s="75"/>
    </row>
    <row r="59" spans="3:8" x14ac:dyDescent="0.25">
      <c r="C59" s="73"/>
      <c r="D59" s="73"/>
      <c r="E59" s="74"/>
      <c r="F59" s="74"/>
      <c r="H59" s="75"/>
    </row>
    <row r="60" spans="3:8" x14ac:dyDescent="0.25">
      <c r="C60" s="73"/>
      <c r="D60" s="73"/>
      <c r="E60" s="74"/>
      <c r="F60" s="74"/>
      <c r="H60" s="75"/>
    </row>
    <row r="61" spans="3:8" x14ac:dyDescent="0.25">
      <c r="C61" s="73"/>
      <c r="D61" s="73"/>
      <c r="E61" s="74"/>
      <c r="F61" s="74"/>
      <c r="H61" s="75"/>
    </row>
    <row r="62" spans="3:8" x14ac:dyDescent="0.25">
      <c r="C62" s="73"/>
      <c r="D62" s="73"/>
      <c r="E62" s="74"/>
      <c r="F62" s="74"/>
      <c r="H62" s="75"/>
    </row>
    <row r="63" spans="3:8" x14ac:dyDescent="0.25">
      <c r="C63" s="73"/>
      <c r="D63" s="73"/>
      <c r="E63" s="74"/>
      <c r="F63" s="74"/>
      <c r="H63" s="75"/>
    </row>
    <row r="64" spans="3:8" x14ac:dyDescent="0.25">
      <c r="C64" s="73"/>
      <c r="D64" s="73"/>
      <c r="E64" s="74"/>
      <c r="F64" s="74"/>
      <c r="H64" s="75"/>
    </row>
    <row r="65" spans="3:8" x14ac:dyDescent="0.25">
      <c r="C65" s="73"/>
      <c r="D65" s="73"/>
      <c r="E65" s="74"/>
      <c r="F65" s="74"/>
      <c r="H65" s="75"/>
    </row>
    <row r="66" spans="3:8" x14ac:dyDescent="0.25">
      <c r="C66" s="73"/>
      <c r="D66" s="73"/>
      <c r="E66" s="74"/>
      <c r="F66" s="74"/>
      <c r="H66" s="75"/>
    </row>
    <row r="67" spans="3:8" x14ac:dyDescent="0.25">
      <c r="C67" s="73"/>
      <c r="D67" s="73"/>
      <c r="E67" s="74"/>
      <c r="F67" s="74"/>
      <c r="H67" s="75"/>
    </row>
    <row r="68" spans="3:8" x14ac:dyDescent="0.25">
      <c r="C68" s="73"/>
      <c r="D68" s="73"/>
      <c r="E68" s="74"/>
      <c r="F68" s="74"/>
      <c r="H68" s="75"/>
    </row>
    <row r="69" spans="3:8" x14ac:dyDescent="0.25">
      <c r="C69" s="73"/>
      <c r="D69" s="73"/>
      <c r="E69" s="74"/>
      <c r="F69" s="74"/>
      <c r="H69" s="75"/>
    </row>
    <row r="70" spans="3:8" x14ac:dyDescent="0.25">
      <c r="C70" s="73"/>
      <c r="D70" s="73"/>
      <c r="E70" s="74"/>
      <c r="F70" s="74"/>
      <c r="H70" s="75"/>
    </row>
    <row r="71" spans="3:8" x14ac:dyDescent="0.25">
      <c r="C71" s="73"/>
      <c r="D71" s="73"/>
      <c r="E71" s="74"/>
      <c r="F71" s="74"/>
      <c r="H71" s="75"/>
    </row>
    <row r="72" spans="3:8" x14ac:dyDescent="0.25">
      <c r="C72" s="73"/>
      <c r="D72" s="73"/>
      <c r="E72" s="74"/>
      <c r="F72" s="74"/>
      <c r="H72" s="75"/>
    </row>
    <row r="73" spans="3:8" x14ac:dyDescent="0.25">
      <c r="C73" s="73"/>
      <c r="D73" s="73"/>
      <c r="E73" s="74"/>
      <c r="F73" s="74"/>
      <c r="H73" s="75"/>
    </row>
    <row r="74" spans="3:8" x14ac:dyDescent="0.25">
      <c r="C74" s="73"/>
      <c r="D74" s="73"/>
      <c r="E74" s="74"/>
      <c r="F74" s="74"/>
      <c r="H74" s="75"/>
    </row>
    <row r="75" spans="3:8" x14ac:dyDescent="0.25">
      <c r="C75" s="73"/>
      <c r="D75" s="73"/>
      <c r="E75" s="74"/>
      <c r="F75" s="74"/>
      <c r="H75" s="75"/>
    </row>
    <row r="76" spans="3:8" x14ac:dyDescent="0.25">
      <c r="C76" s="73"/>
      <c r="D76" s="73"/>
      <c r="E76" s="74"/>
      <c r="F76" s="74"/>
      <c r="H76" s="75"/>
    </row>
    <row r="77" spans="3:8" x14ac:dyDescent="0.25">
      <c r="C77" s="73"/>
      <c r="D77" s="73"/>
      <c r="E77" s="74"/>
      <c r="F77" s="74"/>
      <c r="H77" s="75"/>
    </row>
    <row r="78" spans="3:8" x14ac:dyDescent="0.25">
      <c r="C78" s="73"/>
      <c r="D78" s="73"/>
      <c r="E78" s="74"/>
      <c r="F78" s="74"/>
      <c r="H78" s="75"/>
    </row>
    <row r="79" spans="3:8" x14ac:dyDescent="0.25">
      <c r="C79" s="73"/>
      <c r="D79" s="73"/>
      <c r="E79" s="74"/>
      <c r="F79" s="74"/>
      <c r="H79" s="75"/>
    </row>
    <row r="80" spans="3:8" x14ac:dyDescent="0.25">
      <c r="C80" s="73"/>
      <c r="D80" s="73"/>
      <c r="E80" s="74"/>
      <c r="F80" s="74"/>
      <c r="H80" s="75"/>
    </row>
    <row r="81" spans="2:8" x14ac:dyDescent="0.25">
      <c r="B81" s="62"/>
      <c r="C81" s="73"/>
      <c r="D81" s="73"/>
      <c r="E81" s="74"/>
      <c r="F81" s="74"/>
      <c r="H81" s="75"/>
    </row>
    <row r="82" spans="2:8" x14ac:dyDescent="0.25">
      <c r="C82" s="73"/>
      <c r="D82" s="73"/>
      <c r="E82" s="74"/>
      <c r="F82" s="74"/>
      <c r="H82" s="75"/>
    </row>
    <row r="83" spans="2:8" x14ac:dyDescent="0.25">
      <c r="C83" s="73"/>
      <c r="D83" s="73"/>
      <c r="E83" s="74"/>
      <c r="F83" s="74"/>
      <c r="H83" s="75"/>
    </row>
    <row r="84" spans="2:8" x14ac:dyDescent="0.25">
      <c r="C84" s="73"/>
      <c r="D84" s="73"/>
      <c r="E84" s="74"/>
      <c r="F84" s="74"/>
      <c r="H84" s="75"/>
    </row>
    <row r="85" spans="2:8" x14ac:dyDescent="0.25">
      <c r="C85" s="73"/>
      <c r="D85" s="73"/>
      <c r="E85" s="74"/>
      <c r="F85" s="74"/>
      <c r="H85" s="75"/>
    </row>
    <row r="86" spans="2:8" x14ac:dyDescent="0.25">
      <c r="C86" s="73"/>
      <c r="D86" s="73"/>
      <c r="E86" s="74"/>
      <c r="F86" s="74"/>
      <c r="H86" s="75"/>
    </row>
    <row r="87" spans="2:8" x14ac:dyDescent="0.25">
      <c r="C87" s="73"/>
      <c r="D87" s="73"/>
      <c r="E87" s="74"/>
      <c r="F87" s="74"/>
      <c r="H87" s="75"/>
    </row>
    <row r="88" spans="2:8" x14ac:dyDescent="0.25">
      <c r="C88" s="73"/>
      <c r="D88" s="73"/>
      <c r="E88" s="74"/>
      <c r="F88" s="74"/>
      <c r="H88" s="75"/>
    </row>
    <row r="89" spans="2:8" x14ac:dyDescent="0.25">
      <c r="C89" s="73"/>
      <c r="D89" s="73"/>
      <c r="E89" s="74"/>
      <c r="F89" s="74"/>
      <c r="H89" s="75"/>
    </row>
    <row r="90" spans="2:8" x14ac:dyDescent="0.25">
      <c r="C90" s="73"/>
      <c r="D90" s="73"/>
      <c r="E90" s="74"/>
      <c r="F90" s="74"/>
      <c r="H90" s="75"/>
    </row>
    <row r="91" spans="2:8" x14ac:dyDescent="0.25">
      <c r="C91" s="73"/>
      <c r="D91" s="73"/>
      <c r="E91" s="74"/>
      <c r="F91" s="74"/>
      <c r="H91" s="75"/>
    </row>
    <row r="92" spans="2:8" x14ac:dyDescent="0.25">
      <c r="C92" s="73"/>
      <c r="D92" s="73"/>
      <c r="E92" s="74"/>
      <c r="F92" s="74"/>
      <c r="H92" s="75"/>
    </row>
    <row r="93" spans="2:8" x14ac:dyDescent="0.25">
      <c r="C93" s="73"/>
      <c r="D93" s="73"/>
      <c r="E93" s="74"/>
      <c r="F93" s="74"/>
      <c r="H93" s="75"/>
    </row>
    <row r="94" spans="2:8" x14ac:dyDescent="0.25">
      <c r="C94" s="73"/>
      <c r="D94" s="73"/>
      <c r="E94" s="74"/>
      <c r="F94" s="74"/>
      <c r="H94" s="75"/>
    </row>
    <row r="95" spans="2:8" x14ac:dyDescent="0.25">
      <c r="C95" s="73"/>
      <c r="D95" s="73"/>
      <c r="E95" s="74"/>
      <c r="F95" s="74"/>
      <c r="H95" s="75"/>
    </row>
    <row r="96" spans="2:8" x14ac:dyDescent="0.25">
      <c r="C96" s="73"/>
      <c r="D96" s="73"/>
      <c r="E96" s="74"/>
      <c r="F96" s="74"/>
      <c r="H96" s="75"/>
    </row>
    <row r="97" spans="3:8" x14ac:dyDescent="0.25">
      <c r="C97" s="73"/>
      <c r="D97" s="73"/>
      <c r="E97" s="74"/>
      <c r="F97" s="74"/>
      <c r="H97" s="75"/>
    </row>
    <row r="98" spans="3:8" x14ac:dyDescent="0.25">
      <c r="C98" s="73"/>
      <c r="D98" s="73"/>
      <c r="E98" s="74"/>
      <c r="F98" s="74"/>
      <c r="H98" s="75"/>
    </row>
    <row r="99" spans="3:8" x14ac:dyDescent="0.25">
      <c r="C99" s="73"/>
      <c r="D99" s="73"/>
      <c r="E99" s="74"/>
      <c r="F99" s="74"/>
      <c r="H99" s="75"/>
    </row>
    <row r="100" spans="3:8" x14ac:dyDescent="0.25">
      <c r="C100" s="73"/>
      <c r="D100" s="73"/>
      <c r="E100" s="74"/>
      <c r="F100" s="74"/>
      <c r="H100" s="75"/>
    </row>
    <row r="101" spans="3:8" x14ac:dyDescent="0.25">
      <c r="C101" s="73"/>
      <c r="D101" s="73"/>
      <c r="E101" s="74"/>
      <c r="F101" s="74"/>
      <c r="H101" s="75"/>
    </row>
    <row r="102" spans="3:8" x14ac:dyDescent="0.25">
      <c r="C102" s="73"/>
      <c r="D102" s="73"/>
      <c r="E102" s="74"/>
      <c r="F102" s="74"/>
      <c r="H102" s="75"/>
    </row>
    <row r="103" spans="3:8" x14ac:dyDescent="0.25">
      <c r="C103" s="73"/>
      <c r="D103" s="73"/>
      <c r="E103" s="74"/>
      <c r="F103" s="74"/>
      <c r="H103" s="75"/>
    </row>
    <row r="104" spans="3:8" x14ac:dyDescent="0.25">
      <c r="C104" s="73"/>
      <c r="D104" s="73"/>
      <c r="E104" s="74"/>
      <c r="F104" s="74"/>
      <c r="H104" s="75"/>
    </row>
    <row r="105" spans="3:8" x14ac:dyDescent="0.25">
      <c r="C105" s="73"/>
      <c r="D105" s="73"/>
      <c r="E105" s="74"/>
      <c r="F105" s="74"/>
      <c r="H105" s="75"/>
    </row>
    <row r="106" spans="3:8" x14ac:dyDescent="0.25">
      <c r="C106" s="73"/>
      <c r="D106" s="73"/>
      <c r="E106" s="74"/>
      <c r="F106" s="74"/>
      <c r="H106" s="75"/>
    </row>
    <row r="107" spans="3:8" x14ac:dyDescent="0.25">
      <c r="C107" s="73"/>
      <c r="D107" s="73"/>
      <c r="E107" s="74"/>
      <c r="F107" s="74"/>
      <c r="H107" s="75"/>
    </row>
    <row r="108" spans="3:8" x14ac:dyDescent="0.25">
      <c r="C108" s="73"/>
      <c r="D108" s="73"/>
      <c r="E108" s="74"/>
      <c r="F108" s="74"/>
      <c r="H108" s="75"/>
    </row>
    <row r="109" spans="3:8" x14ac:dyDescent="0.25">
      <c r="C109" s="73"/>
      <c r="D109" s="73"/>
      <c r="E109" s="74"/>
      <c r="F109" s="74"/>
      <c r="H109" s="75"/>
    </row>
    <row r="110" spans="3:8" x14ac:dyDescent="0.25">
      <c r="C110" s="73"/>
      <c r="D110" s="73"/>
      <c r="E110" s="74"/>
      <c r="F110" s="74"/>
      <c r="H110" s="75"/>
    </row>
    <row r="111" spans="3:8" x14ac:dyDescent="0.25">
      <c r="C111" s="73"/>
      <c r="D111" s="73"/>
      <c r="E111" s="74"/>
      <c r="F111" s="74"/>
      <c r="H111" s="75"/>
    </row>
    <row r="112" spans="3:8" x14ac:dyDescent="0.25">
      <c r="C112" s="73"/>
      <c r="D112" s="73"/>
      <c r="E112" s="74"/>
      <c r="F112" s="74"/>
      <c r="H112" s="75"/>
    </row>
    <row r="113" spans="3:8" x14ac:dyDescent="0.25">
      <c r="C113" s="73"/>
      <c r="D113" s="73"/>
      <c r="E113" s="74"/>
      <c r="F113" s="74"/>
      <c r="H113" s="75"/>
    </row>
    <row r="114" spans="3:8" x14ac:dyDescent="0.25">
      <c r="C114" s="73"/>
      <c r="D114" s="73"/>
      <c r="E114" s="74"/>
      <c r="F114" s="74"/>
      <c r="H114" s="75"/>
    </row>
    <row r="115" spans="3:8" x14ac:dyDescent="0.25">
      <c r="C115" s="73"/>
      <c r="D115" s="73"/>
      <c r="E115" s="74"/>
      <c r="F115" s="74"/>
      <c r="H115" s="75"/>
    </row>
    <row r="116" spans="3:8" x14ac:dyDescent="0.25">
      <c r="C116" s="77"/>
      <c r="D116" s="77"/>
      <c r="H116" s="75"/>
    </row>
    <row r="117" spans="3:8" x14ac:dyDescent="0.25">
      <c r="C117" s="77"/>
      <c r="D117" s="77"/>
      <c r="H117" s="75"/>
    </row>
    <row r="118" spans="3:8" x14ac:dyDescent="0.25">
      <c r="C118" s="77"/>
      <c r="D118" s="77"/>
      <c r="H118" s="75"/>
    </row>
    <row r="119" spans="3:8" x14ac:dyDescent="0.25">
      <c r="C119" s="77"/>
      <c r="D119" s="77"/>
      <c r="H119" s="75"/>
    </row>
    <row r="120" spans="3:8" x14ac:dyDescent="0.25">
      <c r="C120" s="77"/>
      <c r="D120" s="77"/>
      <c r="H120" s="75"/>
    </row>
    <row r="121" spans="3:8" x14ac:dyDescent="0.25">
      <c r="C121" s="77"/>
      <c r="D121" s="77"/>
      <c r="H121" s="75"/>
    </row>
    <row r="122" spans="3:8" x14ac:dyDescent="0.25">
      <c r="C122" s="77"/>
      <c r="D122" s="77"/>
      <c r="H122" s="75"/>
    </row>
    <row r="123" spans="3:8" x14ac:dyDescent="0.25">
      <c r="C123" s="79"/>
      <c r="D123" s="79"/>
      <c r="H123" s="75"/>
    </row>
    <row r="124" spans="3:8" x14ac:dyDescent="0.25">
      <c r="C124" s="80"/>
      <c r="D124" s="80"/>
      <c r="H124" s="75"/>
    </row>
    <row r="125" spans="3:8" x14ac:dyDescent="0.25">
      <c r="C125" s="77"/>
      <c r="D125" s="77"/>
      <c r="H125" s="75"/>
    </row>
    <row r="126" spans="3:8" x14ac:dyDescent="0.25">
      <c r="C126" s="77"/>
      <c r="D126" s="77"/>
      <c r="H126" s="75"/>
    </row>
    <row r="127" spans="3:8" x14ac:dyDescent="0.25">
      <c r="C127" s="77"/>
      <c r="D127" s="77"/>
      <c r="H127" s="75"/>
    </row>
    <row r="128" spans="3:8" x14ac:dyDescent="0.25">
      <c r="C128" s="77"/>
      <c r="D128" s="77"/>
      <c r="H128" s="75"/>
    </row>
    <row r="129" spans="3:8" x14ac:dyDescent="0.25">
      <c r="C129" s="77"/>
      <c r="D129" s="77"/>
      <c r="H129" s="75"/>
    </row>
    <row r="130" spans="3:8" x14ac:dyDescent="0.25">
      <c r="C130" s="77"/>
      <c r="D130" s="77"/>
      <c r="H130" s="75"/>
    </row>
    <row r="131" spans="3:8" x14ac:dyDescent="0.25">
      <c r="C131" s="77"/>
      <c r="D131" s="77"/>
      <c r="H131" s="75"/>
    </row>
    <row r="132" spans="3:8" x14ac:dyDescent="0.25">
      <c r="C132" s="77"/>
      <c r="D132" s="77"/>
      <c r="H132" s="75"/>
    </row>
    <row r="133" spans="3:8" x14ac:dyDescent="0.25">
      <c r="C133" s="77"/>
      <c r="D133" s="77"/>
      <c r="H133" s="75"/>
    </row>
    <row r="134" spans="3:8" x14ac:dyDescent="0.25">
      <c r="C134" s="77"/>
      <c r="D134" s="77"/>
      <c r="H134" s="75"/>
    </row>
    <row r="135" spans="3:8" x14ac:dyDescent="0.25">
      <c r="C135" s="77"/>
      <c r="D135" s="77"/>
      <c r="H135" s="75"/>
    </row>
    <row r="136" spans="3:8" x14ac:dyDescent="0.25">
      <c r="C136" s="77"/>
      <c r="D136" s="77"/>
      <c r="H136" s="75"/>
    </row>
    <row r="137" spans="3:8" x14ac:dyDescent="0.25">
      <c r="C137" s="77"/>
      <c r="D137" s="77"/>
      <c r="H137" s="75"/>
    </row>
    <row r="138" spans="3:8" x14ac:dyDescent="0.25">
      <c r="C138" s="77"/>
      <c r="D138" s="77"/>
      <c r="H138" s="75"/>
    </row>
    <row r="139" spans="3:8" x14ac:dyDescent="0.25">
      <c r="C139" s="77"/>
      <c r="D139" s="77"/>
      <c r="H139" s="75"/>
    </row>
    <row r="140" spans="3:8" x14ac:dyDescent="0.25">
      <c r="H140" s="75"/>
    </row>
    <row r="141" spans="3:8" x14ac:dyDescent="0.25">
      <c r="H141" s="75"/>
    </row>
    <row r="142" spans="3:8" x14ac:dyDescent="0.25">
      <c r="H142" s="75"/>
    </row>
    <row r="143" spans="3:8" x14ac:dyDescent="0.25">
      <c r="H143" s="75"/>
    </row>
    <row r="144" spans="3:8" x14ac:dyDescent="0.25">
      <c r="H144" s="75"/>
    </row>
    <row r="145" spans="8:8" x14ac:dyDescent="0.25">
      <c r="H145" s="75"/>
    </row>
    <row r="146" spans="8:8" x14ac:dyDescent="0.25">
      <c r="H146" s="75"/>
    </row>
    <row r="147" spans="8:8" x14ac:dyDescent="0.25">
      <c r="H147" s="75"/>
    </row>
    <row r="148" spans="8:8" x14ac:dyDescent="0.25">
      <c r="H148" s="75"/>
    </row>
    <row r="149" spans="8:8" x14ac:dyDescent="0.25">
      <c r="H149" s="75"/>
    </row>
    <row r="150" spans="8:8" x14ac:dyDescent="0.25">
      <c r="H150" s="75"/>
    </row>
    <row r="151" spans="8:8" x14ac:dyDescent="0.25">
      <c r="H151" s="75"/>
    </row>
    <row r="152" spans="8:8" x14ac:dyDescent="0.25">
      <c r="H152" s="75"/>
    </row>
    <row r="153" spans="8:8" x14ac:dyDescent="0.25">
      <c r="H153" s="75"/>
    </row>
    <row r="154" spans="8:8" x14ac:dyDescent="0.25">
      <c r="H154" s="75"/>
    </row>
    <row r="155" spans="8:8" x14ac:dyDescent="0.25">
      <c r="H155" s="75"/>
    </row>
    <row r="156" spans="8:8" x14ac:dyDescent="0.25">
      <c r="H156" s="75"/>
    </row>
    <row r="157" spans="8:8" x14ac:dyDescent="0.25">
      <c r="H157" s="75"/>
    </row>
    <row r="158" spans="8:8" x14ac:dyDescent="0.25">
      <c r="H158" s="75"/>
    </row>
    <row r="159" spans="8:8" x14ac:dyDescent="0.25">
      <c r="H159" s="75"/>
    </row>
    <row r="160" spans="8:8" x14ac:dyDescent="0.25">
      <c r="H160" s="75"/>
    </row>
    <row r="161" spans="8:8" x14ac:dyDescent="0.25">
      <c r="H161" s="75"/>
    </row>
    <row r="162" spans="8:8" x14ac:dyDescent="0.25">
      <c r="H162" s="75"/>
    </row>
    <row r="163" spans="8:8" x14ac:dyDescent="0.25">
      <c r="H163" s="75"/>
    </row>
    <row r="164" spans="8:8" x14ac:dyDescent="0.25">
      <c r="H164" s="75"/>
    </row>
    <row r="165" spans="8:8" x14ac:dyDescent="0.25">
      <c r="H165" s="75"/>
    </row>
    <row r="166" spans="8:8" x14ac:dyDescent="0.25">
      <c r="H166" s="75"/>
    </row>
    <row r="167" spans="8:8" x14ac:dyDescent="0.25">
      <c r="H167" s="75"/>
    </row>
    <row r="168" spans="8:8" x14ac:dyDescent="0.25">
      <c r="H168" s="75"/>
    </row>
    <row r="169" spans="8:8" x14ac:dyDescent="0.25">
      <c r="H169" s="75"/>
    </row>
    <row r="170" spans="8:8" x14ac:dyDescent="0.25">
      <c r="H170" s="75"/>
    </row>
    <row r="171" spans="8:8" x14ac:dyDescent="0.25">
      <c r="H171" s="75"/>
    </row>
    <row r="172" spans="8:8" x14ac:dyDescent="0.25">
      <c r="H172" s="75"/>
    </row>
    <row r="173" spans="8:8" x14ac:dyDescent="0.25">
      <c r="H173" s="75"/>
    </row>
    <row r="174" spans="8:8" x14ac:dyDescent="0.25">
      <c r="H174" s="75"/>
    </row>
    <row r="175" spans="8:8" x14ac:dyDescent="0.25">
      <c r="H175" s="75"/>
    </row>
    <row r="176" spans="8:8" x14ac:dyDescent="0.25">
      <c r="H176" s="75"/>
    </row>
    <row r="177" spans="8:8" x14ac:dyDescent="0.25">
      <c r="H177" s="75"/>
    </row>
    <row r="178" spans="8:8" x14ac:dyDescent="0.25">
      <c r="H178" s="75"/>
    </row>
    <row r="179" spans="8:8" x14ac:dyDescent="0.25">
      <c r="H179" s="75"/>
    </row>
    <row r="180" spans="8:8" x14ac:dyDescent="0.25">
      <c r="H180" s="75"/>
    </row>
    <row r="181" spans="8:8" x14ac:dyDescent="0.25">
      <c r="H181" s="75"/>
    </row>
    <row r="182" spans="8:8" x14ac:dyDescent="0.25">
      <c r="H182" s="75"/>
    </row>
    <row r="183" spans="8:8" x14ac:dyDescent="0.25">
      <c r="H183" s="75"/>
    </row>
    <row r="184" spans="8:8" x14ac:dyDescent="0.25">
      <c r="H184" s="75"/>
    </row>
    <row r="185" spans="8:8" x14ac:dyDescent="0.25">
      <c r="H185" s="75"/>
    </row>
    <row r="186" spans="8:8" x14ac:dyDescent="0.25">
      <c r="H186" s="75"/>
    </row>
    <row r="187" spans="8:8" x14ac:dyDescent="0.25">
      <c r="H187" s="75"/>
    </row>
    <row r="188" spans="8:8" x14ac:dyDescent="0.25">
      <c r="H188" s="75"/>
    </row>
    <row r="189" spans="8:8" x14ac:dyDescent="0.25">
      <c r="H189" s="75"/>
    </row>
    <row r="190" spans="8:8" x14ac:dyDescent="0.25">
      <c r="H190" s="75"/>
    </row>
    <row r="191" spans="8:8" x14ac:dyDescent="0.25">
      <c r="H191" s="75"/>
    </row>
    <row r="192" spans="8:8" x14ac:dyDescent="0.25">
      <c r="H192" s="75"/>
    </row>
    <row r="193" spans="8:8" x14ac:dyDescent="0.25">
      <c r="H193" s="75"/>
    </row>
    <row r="194" spans="8:8" x14ac:dyDescent="0.25">
      <c r="H194" s="75"/>
    </row>
    <row r="195" spans="8:8" x14ac:dyDescent="0.25">
      <c r="H195" s="75"/>
    </row>
    <row r="196" spans="8:8" x14ac:dyDescent="0.25">
      <c r="H196" s="75"/>
    </row>
    <row r="197" spans="8:8" x14ac:dyDescent="0.25">
      <c r="H197" s="75"/>
    </row>
    <row r="198" spans="8:8" x14ac:dyDescent="0.25">
      <c r="H198" s="75"/>
    </row>
    <row r="199" spans="8:8" x14ac:dyDescent="0.25">
      <c r="H199" s="75"/>
    </row>
    <row r="200" spans="8:8" x14ac:dyDescent="0.25">
      <c r="H200" s="75"/>
    </row>
    <row r="201" spans="8:8" x14ac:dyDescent="0.25">
      <c r="H201" s="75"/>
    </row>
    <row r="202" spans="8:8" x14ac:dyDescent="0.25">
      <c r="H202" s="75"/>
    </row>
    <row r="203" spans="8:8" x14ac:dyDescent="0.25">
      <c r="H203" s="75"/>
    </row>
    <row r="204" spans="8:8" x14ac:dyDescent="0.25">
      <c r="H204" s="75"/>
    </row>
    <row r="205" spans="8:8" x14ac:dyDescent="0.25">
      <c r="H205" s="75"/>
    </row>
    <row r="206" spans="8:8" x14ac:dyDescent="0.25">
      <c r="H206" s="75"/>
    </row>
    <row r="207" spans="8:8" x14ac:dyDescent="0.25">
      <c r="H207" s="75"/>
    </row>
    <row r="208" spans="8:8" x14ac:dyDescent="0.25">
      <c r="H208" s="75"/>
    </row>
    <row r="209" spans="8:8" x14ac:dyDescent="0.25">
      <c r="H209" s="75"/>
    </row>
    <row r="210" spans="8:8" x14ac:dyDescent="0.25">
      <c r="H210" s="75"/>
    </row>
    <row r="211" spans="8:8" x14ac:dyDescent="0.25">
      <c r="H211" s="75"/>
    </row>
    <row r="212" spans="8:8" x14ac:dyDescent="0.25">
      <c r="H212" s="75"/>
    </row>
    <row r="213" spans="8:8" x14ac:dyDescent="0.25">
      <c r="H213" s="75"/>
    </row>
    <row r="214" spans="8:8" x14ac:dyDescent="0.25">
      <c r="H214" s="75"/>
    </row>
    <row r="215" spans="8:8" x14ac:dyDescent="0.25">
      <c r="H215" s="75"/>
    </row>
    <row r="216" spans="8:8" x14ac:dyDescent="0.25">
      <c r="H216" s="75"/>
    </row>
    <row r="217" spans="8:8" x14ac:dyDescent="0.25">
      <c r="H217" s="75"/>
    </row>
    <row r="218" spans="8:8" x14ac:dyDescent="0.25">
      <c r="H218" s="75"/>
    </row>
    <row r="219" spans="8:8" x14ac:dyDescent="0.25">
      <c r="H219" s="75"/>
    </row>
    <row r="220" spans="8:8" x14ac:dyDescent="0.25">
      <c r="H220" s="75"/>
    </row>
    <row r="221" spans="8:8" x14ac:dyDescent="0.25">
      <c r="H221" s="75"/>
    </row>
    <row r="222" spans="8:8" x14ac:dyDescent="0.25">
      <c r="H222" s="75"/>
    </row>
    <row r="223" spans="8:8" x14ac:dyDescent="0.25">
      <c r="H223" s="75"/>
    </row>
    <row r="224" spans="8:8" x14ac:dyDescent="0.25">
      <c r="H224" s="75"/>
    </row>
    <row r="225" spans="8:8" x14ac:dyDescent="0.25">
      <c r="H225" s="75"/>
    </row>
    <row r="226" spans="8:8" x14ac:dyDescent="0.25">
      <c r="H226" s="75"/>
    </row>
    <row r="227" spans="8:8" x14ac:dyDescent="0.25">
      <c r="H227" s="75"/>
    </row>
    <row r="228" spans="8:8" x14ac:dyDescent="0.25">
      <c r="H228" s="75"/>
    </row>
    <row r="229" spans="8:8" x14ac:dyDescent="0.25">
      <c r="H229" s="75"/>
    </row>
    <row r="230" spans="8:8" x14ac:dyDescent="0.25">
      <c r="H230" s="75"/>
    </row>
    <row r="231" spans="8:8" x14ac:dyDescent="0.25">
      <c r="H231" s="75"/>
    </row>
    <row r="232" spans="8:8" x14ac:dyDescent="0.25">
      <c r="H232" s="75"/>
    </row>
    <row r="233" spans="8:8" x14ac:dyDescent="0.25">
      <c r="H233" s="75"/>
    </row>
    <row r="234" spans="8:8" x14ac:dyDescent="0.25">
      <c r="H234" s="75"/>
    </row>
    <row r="235" spans="8:8" x14ac:dyDescent="0.25">
      <c r="H235" s="75"/>
    </row>
    <row r="236" spans="8:8" x14ac:dyDescent="0.25">
      <c r="H236" s="75"/>
    </row>
    <row r="237" spans="8:8" x14ac:dyDescent="0.25">
      <c r="H237" s="75"/>
    </row>
    <row r="238" spans="8:8" x14ac:dyDescent="0.25">
      <c r="H238" s="75"/>
    </row>
    <row r="239" spans="8:8" x14ac:dyDescent="0.25">
      <c r="H239" s="75"/>
    </row>
    <row r="240" spans="8:8" x14ac:dyDescent="0.25">
      <c r="H240" s="75"/>
    </row>
    <row r="241" spans="8:8" x14ac:dyDescent="0.25">
      <c r="H241" s="75"/>
    </row>
    <row r="242" spans="8:8" x14ac:dyDescent="0.25">
      <c r="H242" s="75"/>
    </row>
    <row r="243" spans="8:8" x14ac:dyDescent="0.25">
      <c r="H243" s="75"/>
    </row>
    <row r="244" spans="8:8" x14ac:dyDescent="0.25">
      <c r="H244" s="75"/>
    </row>
    <row r="245" spans="8:8" x14ac:dyDescent="0.25">
      <c r="H245" s="75"/>
    </row>
    <row r="246" spans="8:8" x14ac:dyDescent="0.25">
      <c r="H246" s="75"/>
    </row>
    <row r="247" spans="8:8" x14ac:dyDescent="0.25">
      <c r="H247" s="75"/>
    </row>
    <row r="248" spans="8:8" x14ac:dyDescent="0.25">
      <c r="H248" s="75"/>
    </row>
    <row r="249" spans="8:8" x14ac:dyDescent="0.25">
      <c r="H249" s="75"/>
    </row>
    <row r="250" spans="8:8" x14ac:dyDescent="0.25">
      <c r="H250" s="75"/>
    </row>
    <row r="251" spans="8:8" x14ac:dyDescent="0.25">
      <c r="H251" s="75"/>
    </row>
    <row r="252" spans="8:8" x14ac:dyDescent="0.25">
      <c r="H252" s="75"/>
    </row>
    <row r="253" spans="8:8" x14ac:dyDescent="0.25">
      <c r="H253" s="75"/>
    </row>
    <row r="254" spans="8:8" x14ac:dyDescent="0.25">
      <c r="H254" s="75"/>
    </row>
    <row r="255" spans="8:8" x14ac:dyDescent="0.25">
      <c r="H255" s="75"/>
    </row>
    <row r="256" spans="8:8" x14ac:dyDescent="0.25">
      <c r="H256" s="75"/>
    </row>
    <row r="257" spans="8:8" x14ac:dyDescent="0.25">
      <c r="H257" s="75"/>
    </row>
    <row r="258" spans="8:8" x14ac:dyDescent="0.25">
      <c r="H258" s="75"/>
    </row>
    <row r="259" spans="8:8" x14ac:dyDescent="0.25">
      <c r="H259" s="75"/>
    </row>
    <row r="260" spans="8:8" x14ac:dyDescent="0.25">
      <c r="H260" s="75"/>
    </row>
    <row r="261" spans="8:8" x14ac:dyDescent="0.25">
      <c r="H261" s="75"/>
    </row>
    <row r="262" spans="8:8" x14ac:dyDescent="0.25">
      <c r="H262" s="75"/>
    </row>
    <row r="263" spans="8:8" x14ac:dyDescent="0.25">
      <c r="H263" s="75"/>
    </row>
    <row r="264" spans="8:8" x14ac:dyDescent="0.25">
      <c r="H264" s="75"/>
    </row>
    <row r="265" spans="8:8" x14ac:dyDescent="0.25">
      <c r="H265" s="75"/>
    </row>
    <row r="266" spans="8:8" x14ac:dyDescent="0.25">
      <c r="H266" s="75"/>
    </row>
    <row r="267" spans="8:8" x14ac:dyDescent="0.25">
      <c r="H267" s="75"/>
    </row>
    <row r="268" spans="8:8" x14ac:dyDescent="0.25">
      <c r="H268" s="75"/>
    </row>
    <row r="269" spans="8:8" x14ac:dyDescent="0.25">
      <c r="H269" s="75"/>
    </row>
    <row r="270" spans="8:8" x14ac:dyDescent="0.25">
      <c r="H270" s="75"/>
    </row>
    <row r="271" spans="8:8" x14ac:dyDescent="0.25">
      <c r="H271" s="75"/>
    </row>
    <row r="272" spans="8:8" x14ac:dyDescent="0.25">
      <c r="H272" s="75"/>
    </row>
    <row r="273" spans="8:8" x14ac:dyDescent="0.25">
      <c r="H273" s="75"/>
    </row>
    <row r="274" spans="8:8" x14ac:dyDescent="0.25">
      <c r="H274" s="75"/>
    </row>
    <row r="275" spans="8:8" x14ac:dyDescent="0.25">
      <c r="H275" s="75"/>
    </row>
    <row r="276" spans="8:8" x14ac:dyDescent="0.25">
      <c r="H276" s="75"/>
    </row>
    <row r="277" spans="8:8" x14ac:dyDescent="0.25">
      <c r="H277" s="75"/>
    </row>
    <row r="278" spans="8:8" x14ac:dyDescent="0.25">
      <c r="H278" s="75"/>
    </row>
    <row r="279" spans="8:8" x14ac:dyDescent="0.25">
      <c r="H279" s="75"/>
    </row>
    <row r="280" spans="8:8" x14ac:dyDescent="0.25">
      <c r="H280" s="75"/>
    </row>
    <row r="281" spans="8:8" x14ac:dyDescent="0.25">
      <c r="H281" s="75"/>
    </row>
    <row r="282" spans="8:8" x14ac:dyDescent="0.25">
      <c r="H282" s="75"/>
    </row>
    <row r="283" spans="8:8" x14ac:dyDescent="0.25">
      <c r="H283" s="75"/>
    </row>
    <row r="284" spans="8:8" x14ac:dyDescent="0.25">
      <c r="H284" s="75"/>
    </row>
    <row r="285" spans="8:8" x14ac:dyDescent="0.25">
      <c r="H285" s="75"/>
    </row>
    <row r="286" spans="8:8" x14ac:dyDescent="0.25">
      <c r="H286" s="75"/>
    </row>
    <row r="287" spans="8:8" x14ac:dyDescent="0.25">
      <c r="H287" s="75"/>
    </row>
    <row r="288" spans="8:8" x14ac:dyDescent="0.25">
      <c r="H288" s="75"/>
    </row>
    <row r="289" spans="8:8" x14ac:dyDescent="0.25">
      <c r="H289" s="75"/>
    </row>
    <row r="290" spans="8:8" x14ac:dyDescent="0.25">
      <c r="H290" s="75"/>
    </row>
    <row r="291" spans="8:8" x14ac:dyDescent="0.25">
      <c r="H291" s="75"/>
    </row>
    <row r="292" spans="8:8" x14ac:dyDescent="0.25">
      <c r="H292" s="75"/>
    </row>
    <row r="293" spans="8:8" x14ac:dyDescent="0.25">
      <c r="H293" s="75"/>
    </row>
    <row r="294" spans="8:8" x14ac:dyDescent="0.25">
      <c r="H294" s="75"/>
    </row>
    <row r="295" spans="8:8" x14ac:dyDescent="0.25">
      <c r="H295" s="75"/>
    </row>
    <row r="296" spans="8:8" x14ac:dyDescent="0.25">
      <c r="H296" s="75"/>
    </row>
    <row r="297" spans="8:8" x14ac:dyDescent="0.25">
      <c r="H297" s="75"/>
    </row>
    <row r="298" spans="8:8" x14ac:dyDescent="0.25">
      <c r="H298" s="75"/>
    </row>
    <row r="299" spans="8:8" x14ac:dyDescent="0.25">
      <c r="H299" s="75"/>
    </row>
    <row r="300" spans="8:8" x14ac:dyDescent="0.25">
      <c r="H300" s="75"/>
    </row>
    <row r="301" spans="8:8" x14ac:dyDescent="0.25">
      <c r="H301" s="75"/>
    </row>
    <row r="302" spans="8:8" x14ac:dyDescent="0.25">
      <c r="H302" s="75"/>
    </row>
    <row r="303" spans="8:8" x14ac:dyDescent="0.25">
      <c r="H303" s="75"/>
    </row>
    <row r="304" spans="8:8" x14ac:dyDescent="0.25">
      <c r="H304" s="75"/>
    </row>
    <row r="305" spans="8:8" x14ac:dyDescent="0.25">
      <c r="H305" s="75"/>
    </row>
    <row r="306" spans="8:8" x14ac:dyDescent="0.25">
      <c r="H306" s="75"/>
    </row>
    <row r="307" spans="8:8" x14ac:dyDescent="0.25">
      <c r="H307" s="75"/>
    </row>
    <row r="308" spans="8:8" x14ac:dyDescent="0.25">
      <c r="H308" s="75"/>
    </row>
    <row r="309" spans="8:8" x14ac:dyDescent="0.25">
      <c r="H309" s="75"/>
    </row>
    <row r="310" spans="8:8" x14ac:dyDescent="0.25">
      <c r="H310" s="75"/>
    </row>
    <row r="311" spans="8:8" x14ac:dyDescent="0.25">
      <c r="H311" s="75"/>
    </row>
    <row r="312" spans="8:8" x14ac:dyDescent="0.25">
      <c r="H312" s="75"/>
    </row>
    <row r="313" spans="8:8" x14ac:dyDescent="0.25">
      <c r="H313" s="75"/>
    </row>
    <row r="314" spans="8:8" x14ac:dyDescent="0.25">
      <c r="H314" s="75"/>
    </row>
    <row r="315" spans="8:8" x14ac:dyDescent="0.25">
      <c r="H315" s="75"/>
    </row>
    <row r="316" spans="8:8" x14ac:dyDescent="0.25">
      <c r="H316" s="75"/>
    </row>
    <row r="317" spans="8:8" x14ac:dyDescent="0.25">
      <c r="H317" s="75"/>
    </row>
    <row r="318" spans="8:8" x14ac:dyDescent="0.25">
      <c r="H318" s="75"/>
    </row>
    <row r="319" spans="8:8" x14ac:dyDescent="0.25">
      <c r="H319" s="75"/>
    </row>
    <row r="320" spans="8:8" x14ac:dyDescent="0.25">
      <c r="H320" s="75"/>
    </row>
    <row r="321" spans="8:8" x14ac:dyDescent="0.25">
      <c r="H321" s="75"/>
    </row>
    <row r="322" spans="8:8" x14ac:dyDescent="0.25">
      <c r="H322" s="75"/>
    </row>
    <row r="323" spans="8:8" x14ac:dyDescent="0.25">
      <c r="H323" s="75"/>
    </row>
    <row r="324" spans="8:8" x14ac:dyDescent="0.25">
      <c r="H324" s="75"/>
    </row>
    <row r="325" spans="8:8" x14ac:dyDescent="0.25">
      <c r="H325" s="75"/>
    </row>
    <row r="326" spans="8:8" x14ac:dyDescent="0.25">
      <c r="H326" s="75"/>
    </row>
    <row r="327" spans="8:8" x14ac:dyDescent="0.25">
      <c r="H327" s="75"/>
    </row>
    <row r="328" spans="8:8" x14ac:dyDescent="0.25">
      <c r="H328" s="75"/>
    </row>
    <row r="329" spans="8:8" x14ac:dyDescent="0.25">
      <c r="H329" s="75"/>
    </row>
    <row r="330" spans="8:8" x14ac:dyDescent="0.25">
      <c r="H330" s="75"/>
    </row>
    <row r="331" spans="8:8" x14ac:dyDescent="0.25">
      <c r="H331" s="75"/>
    </row>
    <row r="332" spans="8:8" x14ac:dyDescent="0.25">
      <c r="H332" s="75"/>
    </row>
    <row r="333" spans="8:8" x14ac:dyDescent="0.25">
      <c r="H333" s="75"/>
    </row>
    <row r="334" spans="8:8" x14ac:dyDescent="0.25">
      <c r="H334" s="75"/>
    </row>
    <row r="335" spans="8:8" x14ac:dyDescent="0.25">
      <c r="H335" s="75"/>
    </row>
    <row r="336" spans="8:8" x14ac:dyDescent="0.25">
      <c r="H336" s="75"/>
    </row>
    <row r="337" spans="8:8" x14ac:dyDescent="0.25">
      <c r="H337" s="75"/>
    </row>
    <row r="338" spans="8:8" x14ac:dyDescent="0.25">
      <c r="H338" s="75"/>
    </row>
    <row r="339" spans="8:8" x14ac:dyDescent="0.25">
      <c r="H339" s="75"/>
    </row>
    <row r="340" spans="8:8" x14ac:dyDescent="0.25">
      <c r="H340" s="75"/>
    </row>
    <row r="341" spans="8:8" x14ac:dyDescent="0.25">
      <c r="H341" s="75"/>
    </row>
    <row r="342" spans="8:8" x14ac:dyDescent="0.25">
      <c r="H342" s="75"/>
    </row>
    <row r="343" spans="8:8" x14ac:dyDescent="0.25">
      <c r="H343" s="75"/>
    </row>
  </sheetData>
  <sheetProtection password="CACB" sheet="1" scenarios="1" formatCells="0" formatColumns="0" formatRows="0" insertColumns="0" insertRows="0" insertHyperlinks="0" deleteColumns="0" deleteRows="0" sort="0" autoFilter="0" pivotTables="0"/>
  <protectedRanges>
    <protectedRange password="FE20" sqref="A1" name="Range2"/>
    <protectedRange password="FE20" sqref="G20" name="Range1"/>
  </protectedRanges>
  <mergeCells count="6">
    <mergeCell ref="F19:F20"/>
    <mergeCell ref="D3:E3"/>
    <mergeCell ref="D4:E4"/>
    <mergeCell ref="D5:E5"/>
    <mergeCell ref="D6:E6"/>
    <mergeCell ref="F5:F6"/>
  </mergeCells>
  <conditionalFormatting sqref="F5:F6">
    <cfRule type="cellIs" dxfId="2" priority="1" operator="equal">
      <formula>"Keep it up"</formula>
    </cfRule>
  </conditionalFormatting>
  <dataValidations count="15">
    <dataValidation type="list" allowBlank="1" showInputMessage="1" showErrorMessage="1" sqref="E11:E12 E14:E17">
      <formula1>"Click to select, Yes, No"</formula1>
    </dataValidation>
    <dataValidation allowBlank="1" showInputMessage="1" showErrorMessage="1" prompt="Enter the question count of static + question count of Algo questions as provided in the report." sqref="D7"/>
    <dataValidation type="list" allowBlank="1" showInputMessage="1" showErrorMessage="1" sqref="E13">
      <formula1>"Click to select, Yes, No, NA"</formula1>
    </dataValidation>
    <dataValidation allowBlank="1" showInputMessage="1" showErrorMessage="1" prompt="Missing instruction, Irrelevant instruction to be deleted." sqref="G7 G27"/>
    <dataValidation allowBlank="1" showInputMessage="1" showErrorMessage="1" prompt="Incorrect Feedback (CMW/ Post submission/ Explanation)" sqref="G8 G28"/>
    <dataValidation allowBlank="1" showInputMessage="1" showErrorMessage="1" prompt="Give-away to solve the answer. (Hints/Rollover/CMW)" sqref="G9 G29"/>
    <dataValidation allowBlank="1" showInputMessage="1" showErrorMessage="1" prompt="Duplicate or conflicting distractor, Dropdown option inconsistent with COA, Order of entry issue." sqref="G10 G30"/>
    <dataValidation allowBlank="1" showInputMessage="1" showErrorMessage="1" prompt="Issues generally observed in questions which are conceptually incorrect. e.g., values generated for the question in dataset/ connect." sqref="G4 G24"/>
    <dataValidation allowBlank="1" showInputMessage="1" showErrorMessage="1" prompt="Consistency for the set-ups, instruction, suffix for the entry fields, formats etc. throughout the chapter or project._x000a_Initial checker/Reviewer should check with the Reviewer/QA's on this." sqref="G11 G31"/>
    <dataValidation allowBlank="1" showInputMessage="1" showErrorMessage="1" prompt="Calculation issues due to incorrect linking which affects the computation." sqref="G5 G25"/>
    <dataValidation allowBlank="1" showInputMessage="1" showErrorMessage="1" prompt="Core consistency check with the text - question information which excludes rephrasing the requirement for online rendering." sqref="G6 G26"/>
    <dataValidation allowBlank="1" showInputMessage="1" showErrorMessage="1" prompt="JE tags for the same dates, descriptions, reference tab, requirement tags etc. " sqref="G12 G32"/>
    <dataValidation allowBlank="1" showInputMessage="1" showErrorMessage="1" prompt="Relates to the Journal entries." sqref="G13 G33"/>
    <dataValidation allowBlank="1" showInputMessage="1" showErrorMessage="1" prompt="Check on backend tool relating to - Acceptance of positive negative cells, gradable/nongradable, shuffle group, toggle group, Dropdown policy applied, check box etc." sqref="G16 G36"/>
    <dataValidation type="list" allowBlank="1" showInputMessage="1" showErrorMessage="1" sqref="G42:G1048576 H42:H343">
      <formula1>$G$4:$G$20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343"/>
  <sheetViews>
    <sheetView showGridLines="0" zoomScale="80" zoomScaleNormal="80" workbookViewId="0">
      <selection activeCell="A4" sqref="A4"/>
    </sheetView>
  </sheetViews>
  <sheetFormatPr defaultColWidth="9.140625" defaultRowHeight="15" zeroHeight="1" x14ac:dyDescent="0.25"/>
  <cols>
    <col min="1" max="1" width="3.28515625" style="2" customWidth="1"/>
    <col min="2" max="2" width="1.7109375" style="2" customWidth="1"/>
    <col min="3" max="3" width="22.28515625" style="76" customWidth="1"/>
    <col min="4" max="4" width="19.28515625" style="76" customWidth="1"/>
    <col min="5" max="5" width="43.140625" style="78" customWidth="1"/>
    <col min="6" max="6" width="51.85546875" style="78" customWidth="1"/>
    <col min="7" max="7" width="32.42578125" style="76" customWidth="1"/>
    <col min="8" max="8" width="8.85546875" style="5" customWidth="1"/>
    <col min="9" max="9" width="8.85546875" style="2" customWidth="1"/>
    <col min="10" max="10" width="1.7109375" style="2" customWidth="1"/>
    <col min="11" max="11" width="3.85546875" style="2" customWidth="1"/>
    <col min="12" max="20" width="9.140625" style="2" customWidth="1"/>
    <col min="21" max="16384" width="9.140625" style="2"/>
  </cols>
  <sheetData>
    <row r="1" spans="1:20" ht="15.75" thickBot="1" x14ac:dyDescent="0.3">
      <c r="A1" s="1"/>
      <c r="C1" s="3"/>
      <c r="D1" s="3"/>
      <c r="E1" s="4"/>
      <c r="F1" s="4"/>
      <c r="G1" s="3"/>
      <c r="K1" s="6"/>
      <c r="L1" s="7"/>
      <c r="M1" s="7"/>
      <c r="N1" s="7"/>
    </row>
    <row r="2" spans="1:20" ht="15.75" thickBot="1" x14ac:dyDescent="0.3">
      <c r="A2" s="6"/>
      <c r="B2" s="8"/>
      <c r="C2" s="9"/>
      <c r="D2" s="9"/>
      <c r="E2" s="10"/>
      <c r="F2" s="10"/>
      <c r="G2" s="9"/>
      <c r="H2" s="11"/>
      <c r="I2" s="12"/>
      <c r="J2" s="12"/>
      <c r="K2" s="7"/>
      <c r="L2" s="7"/>
      <c r="M2" s="7"/>
      <c r="N2" s="7"/>
    </row>
    <row r="3" spans="1:20" ht="30" customHeight="1" x14ac:dyDescent="0.25">
      <c r="A3" s="6"/>
      <c r="B3" s="13"/>
      <c r="C3" s="14" t="s">
        <v>0</v>
      </c>
      <c r="D3" s="311"/>
      <c r="E3" s="312"/>
      <c r="F3" s="15" t="s">
        <v>1</v>
      </c>
      <c r="G3" s="16" t="s">
        <v>2</v>
      </c>
      <c r="H3" s="16" t="s">
        <v>3</v>
      </c>
      <c r="I3" s="17" t="s">
        <v>4</v>
      </c>
      <c r="J3" s="18"/>
      <c r="K3" s="7"/>
      <c r="L3" s="19"/>
      <c r="O3" s="2" t="s">
        <v>5</v>
      </c>
      <c r="P3" s="2" t="s">
        <v>6</v>
      </c>
      <c r="Q3" s="2" t="s">
        <v>7</v>
      </c>
    </row>
    <row r="4" spans="1:20" ht="27" thickBot="1" x14ac:dyDescent="0.45">
      <c r="A4" s="6"/>
      <c r="B4" s="13"/>
      <c r="C4" s="20" t="s">
        <v>8</v>
      </c>
      <c r="D4" s="311"/>
      <c r="E4" s="312"/>
      <c r="F4" s="21">
        <f>H21</f>
        <v>1</v>
      </c>
      <c r="G4" s="22" t="s">
        <v>9</v>
      </c>
      <c r="H4" s="23">
        <f t="shared" ref="H4:H20" si="0">COUNTIF($G$42:$G$343,G4)</f>
        <v>0</v>
      </c>
      <c r="I4" s="24">
        <v>5</v>
      </c>
      <c r="J4" s="18"/>
      <c r="K4" s="7"/>
      <c r="L4" s="25">
        <f t="shared" ref="L4:L20" si="1">I4*(100/$D$7)</f>
        <v>25</v>
      </c>
      <c r="M4" s="2">
        <f>L4*H4</f>
        <v>0</v>
      </c>
      <c r="O4" s="23">
        <f t="shared" ref="O4:O20" si="2">COUNTIF($H$42:$H$343,G4)</f>
        <v>0</v>
      </c>
      <c r="P4" s="2">
        <f>I4*O4</f>
        <v>0</v>
      </c>
      <c r="Q4" s="2">
        <f>H4*I4</f>
        <v>0</v>
      </c>
      <c r="T4" s="2" t="b">
        <f>H4&lt;=O4</f>
        <v>1</v>
      </c>
    </row>
    <row r="5" spans="1:20" ht="15.75" thickTop="1" x14ac:dyDescent="0.25">
      <c r="A5" s="6"/>
      <c r="B5" s="13"/>
      <c r="C5" s="20" t="s">
        <v>10</v>
      </c>
      <c r="D5" s="311"/>
      <c r="E5" s="312"/>
      <c r="F5" s="315" t="str">
        <f>IF(AND(F4&lt;=90%,F4&gt;70%,H4=0,H5=0,H6=0),"Attention Required !",IF(AND(F4&lt;=95%,F4&gt;90%,H4=0,H5=0,H6=0),"Keep it up !",IF(AND(F4&lt;100%,F4&gt;95%,H4=0,H5=0,H6=0),"Just missed !",(IF(F4=100%,"Bravo !! ","High alert !")))))</f>
        <v xml:space="preserve">Bravo !! </v>
      </c>
      <c r="G5" s="22" t="s">
        <v>11</v>
      </c>
      <c r="H5" s="23">
        <f t="shared" si="0"/>
        <v>0</v>
      </c>
      <c r="I5" s="24">
        <v>5</v>
      </c>
      <c r="J5" s="18"/>
      <c r="K5" s="7"/>
      <c r="L5" s="25">
        <f t="shared" si="1"/>
        <v>25</v>
      </c>
      <c r="M5" s="2">
        <f t="shared" ref="M5:M20" si="3">L5*H5</f>
        <v>0</v>
      </c>
      <c r="O5" s="23">
        <f t="shared" si="2"/>
        <v>0</v>
      </c>
      <c r="P5" s="2">
        <f t="shared" ref="P5:P20" si="4">I5*O5</f>
        <v>0</v>
      </c>
      <c r="Q5" s="2">
        <f t="shared" ref="Q5:Q20" si="5">H5*I5</f>
        <v>0</v>
      </c>
      <c r="T5" s="2" t="b">
        <f t="shared" ref="T5:T20" si="6">H5&lt;=O5</f>
        <v>1</v>
      </c>
    </row>
    <row r="6" spans="1:20" ht="15.75" thickBot="1" x14ac:dyDescent="0.3">
      <c r="A6" s="6"/>
      <c r="B6" s="13"/>
      <c r="C6" s="20" t="s">
        <v>12</v>
      </c>
      <c r="D6" s="311"/>
      <c r="E6" s="312"/>
      <c r="F6" s="316"/>
      <c r="G6" s="22" t="s">
        <v>13</v>
      </c>
      <c r="H6" s="23">
        <f t="shared" si="0"/>
        <v>0</v>
      </c>
      <c r="I6" s="24">
        <v>3</v>
      </c>
      <c r="J6" s="18"/>
      <c r="K6" s="7"/>
      <c r="L6" s="25">
        <f t="shared" si="1"/>
        <v>15</v>
      </c>
      <c r="M6" s="2">
        <f t="shared" si="3"/>
        <v>0</v>
      </c>
      <c r="O6" s="23">
        <f t="shared" si="2"/>
        <v>0</v>
      </c>
      <c r="P6" s="2">
        <f t="shared" si="4"/>
        <v>0</v>
      </c>
      <c r="Q6" s="2">
        <f t="shared" si="5"/>
        <v>0</v>
      </c>
      <c r="T6" s="2" t="b">
        <f t="shared" si="6"/>
        <v>1</v>
      </c>
    </row>
    <row r="7" spans="1:20" ht="15.75" thickTop="1" x14ac:dyDescent="0.25">
      <c r="A7" s="6"/>
      <c r="B7" s="13"/>
      <c r="C7" s="20" t="s">
        <v>14</v>
      </c>
      <c r="D7" s="26">
        <v>20</v>
      </c>
      <c r="E7" s="27"/>
      <c r="F7" s="4"/>
      <c r="G7" s="22" t="s">
        <v>15</v>
      </c>
      <c r="H7" s="23">
        <f t="shared" si="0"/>
        <v>0</v>
      </c>
      <c r="I7" s="24">
        <v>2</v>
      </c>
      <c r="J7" s="18"/>
      <c r="K7" s="7"/>
      <c r="L7" s="25">
        <f t="shared" si="1"/>
        <v>10</v>
      </c>
      <c r="M7" s="2">
        <f t="shared" si="3"/>
        <v>0</v>
      </c>
      <c r="O7" s="23">
        <f t="shared" si="2"/>
        <v>0</v>
      </c>
      <c r="P7" s="2">
        <f t="shared" si="4"/>
        <v>0</v>
      </c>
      <c r="Q7" s="2">
        <f t="shared" si="5"/>
        <v>0</v>
      </c>
      <c r="T7" s="2" t="b">
        <f t="shared" si="6"/>
        <v>1</v>
      </c>
    </row>
    <row r="8" spans="1:20" ht="15.75" x14ac:dyDescent="0.25">
      <c r="A8" s="6"/>
      <c r="B8" s="13"/>
      <c r="C8" s="28"/>
      <c r="D8" s="29"/>
      <c r="E8" s="30"/>
      <c r="F8" s="31"/>
      <c r="G8" s="22" t="s">
        <v>16</v>
      </c>
      <c r="H8" s="23">
        <f t="shared" si="0"/>
        <v>0</v>
      </c>
      <c r="I8" s="24">
        <v>3</v>
      </c>
      <c r="J8" s="18"/>
      <c r="K8" s="7"/>
      <c r="L8" s="25">
        <f t="shared" si="1"/>
        <v>15</v>
      </c>
      <c r="M8" s="2">
        <f t="shared" si="3"/>
        <v>0</v>
      </c>
      <c r="O8" s="23">
        <f t="shared" si="2"/>
        <v>0</v>
      </c>
      <c r="P8" s="2">
        <f t="shared" si="4"/>
        <v>0</v>
      </c>
      <c r="Q8" s="2">
        <f t="shared" si="5"/>
        <v>0</v>
      </c>
      <c r="T8" s="2" t="b">
        <f t="shared" si="6"/>
        <v>1</v>
      </c>
    </row>
    <row r="9" spans="1:20" x14ac:dyDescent="0.25">
      <c r="A9" s="6"/>
      <c r="B9" s="13"/>
      <c r="C9" s="32"/>
      <c r="D9" s="5"/>
      <c r="E9" s="30"/>
      <c r="F9" s="4"/>
      <c r="G9" s="22" t="s">
        <v>17</v>
      </c>
      <c r="H9" s="23">
        <f t="shared" si="0"/>
        <v>0</v>
      </c>
      <c r="I9" s="24">
        <v>1</v>
      </c>
      <c r="J9" s="18"/>
      <c r="K9" s="7"/>
      <c r="L9" s="25">
        <f t="shared" si="1"/>
        <v>5</v>
      </c>
      <c r="M9" s="2">
        <f t="shared" si="3"/>
        <v>0</v>
      </c>
      <c r="O9" s="23">
        <f t="shared" si="2"/>
        <v>0</v>
      </c>
      <c r="P9" s="2">
        <f t="shared" si="4"/>
        <v>0</v>
      </c>
      <c r="Q9" s="2">
        <f t="shared" si="5"/>
        <v>0</v>
      </c>
      <c r="T9" s="2" t="b">
        <f t="shared" si="6"/>
        <v>1</v>
      </c>
    </row>
    <row r="10" spans="1:20" ht="15.75" thickBot="1" x14ac:dyDescent="0.3">
      <c r="A10" s="6"/>
      <c r="B10" s="13"/>
      <c r="C10" s="33"/>
      <c r="D10" s="3"/>
      <c r="E10" s="30"/>
      <c r="F10" s="34"/>
      <c r="G10" s="22" t="s">
        <v>18</v>
      </c>
      <c r="H10" s="23">
        <f t="shared" si="0"/>
        <v>0</v>
      </c>
      <c r="I10" s="24">
        <v>1</v>
      </c>
      <c r="J10" s="18"/>
      <c r="K10" s="7"/>
      <c r="L10" s="25">
        <f t="shared" si="1"/>
        <v>5</v>
      </c>
      <c r="M10" s="2">
        <f t="shared" si="3"/>
        <v>0</v>
      </c>
      <c r="O10" s="23">
        <f t="shared" si="2"/>
        <v>0</v>
      </c>
      <c r="P10" s="2">
        <f t="shared" si="4"/>
        <v>0</v>
      </c>
      <c r="Q10" s="2">
        <f t="shared" si="5"/>
        <v>0</v>
      </c>
      <c r="T10" s="2" t="b">
        <f t="shared" si="6"/>
        <v>1</v>
      </c>
    </row>
    <row r="11" spans="1:20" ht="20.25" thickTop="1" thickBot="1" x14ac:dyDescent="0.3">
      <c r="A11" s="6"/>
      <c r="B11" s="13"/>
      <c r="C11" s="35" t="s">
        <v>19</v>
      </c>
      <c r="D11" s="36"/>
      <c r="E11" s="37" t="s">
        <v>20</v>
      </c>
      <c r="F11" s="38" t="s">
        <v>21</v>
      </c>
      <c r="G11" s="22" t="s">
        <v>22</v>
      </c>
      <c r="H11" s="23">
        <f t="shared" si="0"/>
        <v>0</v>
      </c>
      <c r="I11" s="24">
        <v>0.25</v>
      </c>
      <c r="J11" s="18"/>
      <c r="K11" s="7"/>
      <c r="L11" s="25">
        <f t="shared" si="1"/>
        <v>1.25</v>
      </c>
      <c r="M11" s="2">
        <f t="shared" si="3"/>
        <v>0</v>
      </c>
      <c r="O11" s="23">
        <f t="shared" si="2"/>
        <v>0</v>
      </c>
      <c r="P11" s="2">
        <f t="shared" si="4"/>
        <v>0</v>
      </c>
      <c r="Q11" s="2">
        <f t="shared" si="5"/>
        <v>0</v>
      </c>
      <c r="T11" s="2" t="b">
        <f t="shared" si="6"/>
        <v>1</v>
      </c>
    </row>
    <row r="12" spans="1:20" ht="27.75" thickTop="1" thickBot="1" x14ac:dyDescent="0.45">
      <c r="A12" s="6"/>
      <c r="B12" s="13"/>
      <c r="C12" s="35" t="s">
        <v>23</v>
      </c>
      <c r="D12" s="36"/>
      <c r="E12" s="37" t="s">
        <v>20</v>
      </c>
      <c r="F12" s="21">
        <f>O21</f>
        <v>1</v>
      </c>
      <c r="G12" s="22" t="s">
        <v>24</v>
      </c>
      <c r="H12" s="23">
        <f t="shared" si="0"/>
        <v>0</v>
      </c>
      <c r="I12" s="24">
        <v>1</v>
      </c>
      <c r="J12" s="18"/>
      <c r="K12" s="7"/>
      <c r="L12" s="25">
        <f t="shared" si="1"/>
        <v>5</v>
      </c>
      <c r="M12" s="2">
        <f t="shared" si="3"/>
        <v>0</v>
      </c>
      <c r="O12" s="23">
        <f t="shared" si="2"/>
        <v>0</v>
      </c>
      <c r="P12" s="2">
        <f t="shared" si="4"/>
        <v>0</v>
      </c>
      <c r="Q12" s="2">
        <f t="shared" si="5"/>
        <v>0</v>
      </c>
      <c r="T12" s="2" t="b">
        <f t="shared" si="6"/>
        <v>1</v>
      </c>
    </row>
    <row r="13" spans="1:20" ht="16.5" thickTop="1" thickBot="1" x14ac:dyDescent="0.3">
      <c r="A13" s="6"/>
      <c r="B13" s="13"/>
      <c r="C13" s="35" t="s">
        <v>25</v>
      </c>
      <c r="D13" s="36"/>
      <c r="E13" s="37" t="s">
        <v>20</v>
      </c>
      <c r="F13" s="313" t="str">
        <f>IF(AND(F12&lt;=90%,F12&gt;70%,H12=0,H13=0,H14=0),"Attention Required !",IF(AND(F12&lt;=95%,F12&gt;90%,H12=0,H13=0,H14=0),"Keep it up !",IF(AND(F12&lt;100%,F12&gt;95%,H12=0,H13=0,H14=0),"Just missed !",(IF(F12=100%,"Bravo !! ","High alert !")))))</f>
        <v xml:space="preserve">Bravo !! </v>
      </c>
      <c r="G13" s="22" t="s">
        <v>26</v>
      </c>
      <c r="H13" s="23">
        <f t="shared" si="0"/>
        <v>0</v>
      </c>
      <c r="I13" s="24">
        <v>1</v>
      </c>
      <c r="J13" s="18"/>
      <c r="K13" s="7"/>
      <c r="L13" s="25">
        <f t="shared" si="1"/>
        <v>5</v>
      </c>
      <c r="M13" s="2">
        <f t="shared" si="3"/>
        <v>0</v>
      </c>
      <c r="O13" s="23">
        <f t="shared" si="2"/>
        <v>0</v>
      </c>
      <c r="P13" s="2">
        <f t="shared" si="4"/>
        <v>0</v>
      </c>
      <c r="Q13" s="2">
        <f t="shared" si="5"/>
        <v>0</v>
      </c>
      <c r="T13" s="2" t="b">
        <f t="shared" si="6"/>
        <v>1</v>
      </c>
    </row>
    <row r="14" spans="1:20" ht="16.5" thickTop="1" thickBot="1" x14ac:dyDescent="0.3">
      <c r="A14" s="6"/>
      <c r="B14" s="13"/>
      <c r="C14" s="39" t="s">
        <v>27</v>
      </c>
      <c r="D14" s="36"/>
      <c r="E14" s="37" t="s">
        <v>20</v>
      </c>
      <c r="F14" s="314"/>
      <c r="G14" s="22" t="s">
        <v>28</v>
      </c>
      <c r="H14" s="23">
        <f t="shared" si="0"/>
        <v>0</v>
      </c>
      <c r="I14" s="24">
        <v>5.0000000000000001E-3</v>
      </c>
      <c r="J14" s="18"/>
      <c r="K14" s="7"/>
      <c r="L14" s="25">
        <f t="shared" si="1"/>
        <v>2.5000000000000001E-2</v>
      </c>
      <c r="M14" s="2">
        <f t="shared" si="3"/>
        <v>0</v>
      </c>
      <c r="O14" s="23">
        <f t="shared" si="2"/>
        <v>0</v>
      </c>
      <c r="P14" s="2">
        <f t="shared" si="4"/>
        <v>0</v>
      </c>
      <c r="Q14" s="2">
        <f t="shared" si="5"/>
        <v>0</v>
      </c>
      <c r="T14" s="2" t="b">
        <f t="shared" si="6"/>
        <v>1</v>
      </c>
    </row>
    <row r="15" spans="1:20" ht="15.75" thickTop="1" x14ac:dyDescent="0.25">
      <c r="A15" s="6"/>
      <c r="B15" s="13"/>
      <c r="C15" s="40"/>
      <c r="D15" s="36"/>
      <c r="E15" s="41"/>
      <c r="F15" s="4"/>
      <c r="G15" s="22" t="s">
        <v>29</v>
      </c>
      <c r="H15" s="23">
        <f t="shared" si="0"/>
        <v>0</v>
      </c>
      <c r="I15" s="24">
        <v>5.0000000000000001E-3</v>
      </c>
      <c r="J15" s="18"/>
      <c r="K15" s="7"/>
      <c r="L15" s="25">
        <f t="shared" si="1"/>
        <v>2.5000000000000001E-2</v>
      </c>
      <c r="M15" s="2">
        <f t="shared" si="3"/>
        <v>0</v>
      </c>
      <c r="O15" s="23">
        <f t="shared" si="2"/>
        <v>0</v>
      </c>
      <c r="P15" s="2">
        <f t="shared" si="4"/>
        <v>0</v>
      </c>
      <c r="Q15" s="2">
        <f t="shared" si="5"/>
        <v>0</v>
      </c>
      <c r="T15" s="2" t="b">
        <f t="shared" si="6"/>
        <v>1</v>
      </c>
    </row>
    <row r="16" spans="1:20" x14ac:dyDescent="0.25">
      <c r="A16" s="6"/>
      <c r="B16" s="13"/>
      <c r="C16" s="40"/>
      <c r="D16" s="36"/>
      <c r="E16" s="41"/>
      <c r="F16" s="4"/>
      <c r="G16" s="22" t="s">
        <v>30</v>
      </c>
      <c r="H16" s="23">
        <f t="shared" si="0"/>
        <v>0</v>
      </c>
      <c r="I16" s="24">
        <v>1</v>
      </c>
      <c r="J16" s="18"/>
      <c r="K16" s="7"/>
      <c r="L16" s="25">
        <f t="shared" si="1"/>
        <v>5</v>
      </c>
      <c r="M16" s="2">
        <f t="shared" si="3"/>
        <v>0</v>
      </c>
      <c r="O16" s="23">
        <f t="shared" si="2"/>
        <v>0</v>
      </c>
      <c r="P16" s="2">
        <f t="shared" si="4"/>
        <v>0</v>
      </c>
      <c r="Q16" s="2">
        <f t="shared" si="5"/>
        <v>0</v>
      </c>
      <c r="T16" s="2" t="b">
        <f t="shared" si="6"/>
        <v>1</v>
      </c>
    </row>
    <row r="17" spans="1:20" x14ac:dyDescent="0.25">
      <c r="A17" s="6"/>
      <c r="B17" s="13"/>
      <c r="C17" s="40"/>
      <c r="D17" s="36"/>
      <c r="E17" s="41"/>
      <c r="F17" s="4"/>
      <c r="G17" s="22" t="s">
        <v>31</v>
      </c>
      <c r="H17" s="23">
        <f t="shared" si="0"/>
        <v>0</v>
      </c>
      <c r="I17" s="24">
        <v>5.0000000000000001E-3</v>
      </c>
      <c r="J17" s="18"/>
      <c r="K17" s="7"/>
      <c r="L17" s="25">
        <f t="shared" si="1"/>
        <v>2.5000000000000001E-2</v>
      </c>
      <c r="M17" s="2">
        <f t="shared" si="3"/>
        <v>0</v>
      </c>
      <c r="O17" s="23">
        <f t="shared" si="2"/>
        <v>0</v>
      </c>
      <c r="P17" s="2">
        <f t="shared" si="4"/>
        <v>0</v>
      </c>
      <c r="Q17" s="2">
        <f t="shared" si="5"/>
        <v>0</v>
      </c>
      <c r="T17" s="2" t="b">
        <f t="shared" si="6"/>
        <v>1</v>
      </c>
    </row>
    <row r="18" spans="1:20" x14ac:dyDescent="0.25">
      <c r="A18" s="6"/>
      <c r="B18" s="13"/>
      <c r="C18" s="42"/>
      <c r="D18" s="43"/>
      <c r="E18" s="44"/>
      <c r="F18" s="4"/>
      <c r="G18" s="22" t="s">
        <v>32</v>
      </c>
      <c r="H18" s="23">
        <f t="shared" si="0"/>
        <v>0</v>
      </c>
      <c r="I18" s="24">
        <v>1</v>
      </c>
      <c r="J18" s="18"/>
      <c r="K18" s="7"/>
      <c r="L18" s="25">
        <f t="shared" si="1"/>
        <v>5</v>
      </c>
      <c r="M18" s="2">
        <f t="shared" si="3"/>
        <v>0</v>
      </c>
      <c r="O18" s="23">
        <f t="shared" si="2"/>
        <v>0</v>
      </c>
      <c r="P18" s="2">
        <f t="shared" si="4"/>
        <v>0</v>
      </c>
      <c r="Q18" s="2">
        <f t="shared" si="5"/>
        <v>0</v>
      </c>
      <c r="T18" s="2" t="b">
        <f t="shared" si="6"/>
        <v>1</v>
      </c>
    </row>
    <row r="19" spans="1:20" x14ac:dyDescent="0.25">
      <c r="A19" s="6"/>
      <c r="B19" s="13"/>
      <c r="C19" s="3"/>
      <c r="D19" s="3"/>
      <c r="E19" s="4"/>
      <c r="F19" s="310" t="str">
        <f>IF(T21=17,"","ERROR!! (ISSUE COUNT UNFAIR)")</f>
        <v/>
      </c>
      <c r="G19" s="22" t="s">
        <v>33</v>
      </c>
      <c r="H19" s="23">
        <f t="shared" si="0"/>
        <v>0</v>
      </c>
      <c r="I19" s="24">
        <v>0</v>
      </c>
      <c r="J19" s="18"/>
      <c r="K19" s="7"/>
      <c r="L19" s="25">
        <f t="shared" si="1"/>
        <v>0</v>
      </c>
      <c r="M19" s="2">
        <f t="shared" si="3"/>
        <v>0</v>
      </c>
      <c r="O19" s="23">
        <f t="shared" si="2"/>
        <v>0</v>
      </c>
      <c r="P19" s="2">
        <f t="shared" si="4"/>
        <v>0</v>
      </c>
      <c r="Q19" s="2">
        <f t="shared" si="5"/>
        <v>0</v>
      </c>
      <c r="T19" s="2" t="b">
        <f t="shared" si="6"/>
        <v>1</v>
      </c>
    </row>
    <row r="20" spans="1:20" x14ac:dyDescent="0.25">
      <c r="A20" s="6"/>
      <c r="B20" s="13"/>
      <c r="C20" s="3"/>
      <c r="D20" s="3"/>
      <c r="E20" s="4"/>
      <c r="F20" s="310"/>
      <c r="G20" s="22"/>
      <c r="H20" s="23">
        <f t="shared" si="0"/>
        <v>0</v>
      </c>
      <c r="I20" s="24">
        <f>A1</f>
        <v>0</v>
      </c>
      <c r="J20" s="18"/>
      <c r="K20" s="7"/>
      <c r="L20" s="25">
        <f t="shared" si="1"/>
        <v>0</v>
      </c>
      <c r="M20" s="2">
        <f t="shared" si="3"/>
        <v>0</v>
      </c>
      <c r="O20" s="23">
        <f t="shared" si="2"/>
        <v>0</v>
      </c>
      <c r="P20" s="2">
        <f t="shared" si="4"/>
        <v>0</v>
      </c>
      <c r="Q20" s="2">
        <f t="shared" si="5"/>
        <v>0</v>
      </c>
      <c r="T20" s="2" t="b">
        <f t="shared" si="6"/>
        <v>1</v>
      </c>
    </row>
    <row r="21" spans="1:20" ht="15.75" thickBot="1" x14ac:dyDescent="0.3">
      <c r="A21" s="6"/>
      <c r="B21" s="13"/>
      <c r="C21" s="7"/>
      <c r="D21" s="7"/>
      <c r="E21" s="45"/>
      <c r="F21" s="4"/>
      <c r="G21" s="46"/>
      <c r="H21" s="47">
        <f>IF((100-M21)/100&lt;0,"0%",(100-M21)/100)</f>
        <v>1</v>
      </c>
      <c r="I21" s="48"/>
      <c r="J21" s="18"/>
      <c r="K21" s="7"/>
      <c r="L21" s="49">
        <f>SUM(L4:L20)</f>
        <v>121.32500000000002</v>
      </c>
      <c r="M21" s="7">
        <f>SUM(M4:M20)</f>
        <v>0</v>
      </c>
      <c r="N21" s="7"/>
      <c r="O21" s="47">
        <f>IF(1-P22&lt;0,0%,1-P22)</f>
        <v>1</v>
      </c>
      <c r="P21" s="50">
        <f>SUM(P4:P20)</f>
        <v>0</v>
      </c>
      <c r="Q21" s="51">
        <f>SUM(Q4:Q20)</f>
        <v>0</v>
      </c>
      <c r="T21" s="2">
        <f>COUNTIF(T4:T20,"TRUE")</f>
        <v>17</v>
      </c>
    </row>
    <row r="22" spans="1:20" s="59" customFormat="1" ht="16.5" thickTop="1" thickBot="1" x14ac:dyDescent="0.3">
      <c r="A22" s="52"/>
      <c r="B22" s="53"/>
      <c r="C22" s="54"/>
      <c r="D22" s="54"/>
      <c r="E22" s="55"/>
      <c r="F22" s="55"/>
      <c r="G22" s="54"/>
      <c r="H22" s="56"/>
      <c r="I22" s="57"/>
      <c r="J22" s="58"/>
      <c r="K22" s="3"/>
      <c r="P22" s="59">
        <f>IF(ISERROR(Q21/P21),0,Q21/P21)</f>
        <v>0</v>
      </c>
    </row>
    <row r="23" spans="1:20" s="59" customFormat="1" x14ac:dyDescent="0.25">
      <c r="A23" s="52"/>
      <c r="B23" s="3"/>
      <c r="C23" s="3"/>
      <c r="D23" s="3"/>
      <c r="E23" s="4"/>
      <c r="F23" s="4"/>
      <c r="G23" s="3"/>
      <c r="H23" s="5"/>
      <c r="I23" s="60"/>
      <c r="J23" s="3"/>
      <c r="K23" s="3"/>
    </row>
    <row r="24" spans="1:20" s="59" customFormat="1" x14ac:dyDescent="0.25">
      <c r="A24" s="52"/>
      <c r="B24" s="3"/>
      <c r="C24" s="3"/>
      <c r="D24" s="3"/>
      <c r="E24" s="4"/>
      <c r="F24" s="4"/>
      <c r="G24" s="22" t="s">
        <v>9</v>
      </c>
      <c r="H24" s="5"/>
      <c r="I24" s="60"/>
      <c r="J24" s="3"/>
      <c r="K24" s="3"/>
    </row>
    <row r="25" spans="1:20" s="59" customFormat="1" x14ac:dyDescent="0.25">
      <c r="A25" s="52"/>
      <c r="B25" s="3"/>
      <c r="C25" s="3"/>
      <c r="D25" s="3"/>
      <c r="E25" s="4"/>
      <c r="F25" s="4"/>
      <c r="G25" s="22" t="s">
        <v>11</v>
      </c>
      <c r="H25" s="5"/>
      <c r="I25" s="60"/>
      <c r="J25" s="3"/>
      <c r="K25" s="3"/>
    </row>
    <row r="26" spans="1:20" s="59" customFormat="1" x14ac:dyDescent="0.25">
      <c r="A26" s="52"/>
      <c r="B26" s="3"/>
      <c r="C26" s="3"/>
      <c r="D26" s="3"/>
      <c r="E26" s="4"/>
      <c r="F26" s="4"/>
      <c r="G26" s="22" t="s">
        <v>13</v>
      </c>
      <c r="H26" s="5"/>
      <c r="I26" s="60"/>
      <c r="J26" s="3"/>
      <c r="K26" s="3"/>
    </row>
    <row r="27" spans="1:20" s="59" customFormat="1" x14ac:dyDescent="0.25">
      <c r="A27" s="52"/>
      <c r="B27" s="3"/>
      <c r="C27" s="3"/>
      <c r="D27" s="3"/>
      <c r="E27" s="4"/>
      <c r="F27" s="4"/>
      <c r="G27" s="22" t="s">
        <v>15</v>
      </c>
      <c r="H27" s="5"/>
      <c r="I27" s="60"/>
      <c r="J27" s="3"/>
      <c r="K27" s="3"/>
    </row>
    <row r="28" spans="1:20" s="59" customFormat="1" x14ac:dyDescent="0.25">
      <c r="A28" s="52"/>
      <c r="B28" s="3"/>
      <c r="C28" s="3"/>
      <c r="D28" s="3"/>
      <c r="E28" s="4"/>
      <c r="F28" s="4"/>
      <c r="G28" s="22" t="s">
        <v>16</v>
      </c>
      <c r="H28" s="5"/>
      <c r="I28" s="60"/>
      <c r="J28" s="3"/>
      <c r="K28" s="3"/>
    </row>
    <row r="29" spans="1:20" s="59" customFormat="1" x14ac:dyDescent="0.25">
      <c r="A29" s="52"/>
      <c r="B29" s="3"/>
      <c r="C29" s="3"/>
      <c r="D29" s="3"/>
      <c r="E29" s="4"/>
      <c r="F29" s="4"/>
      <c r="G29" s="22" t="s">
        <v>17</v>
      </c>
      <c r="H29" s="5"/>
      <c r="I29" s="60"/>
      <c r="J29" s="3"/>
      <c r="K29" s="3"/>
    </row>
    <row r="30" spans="1:20" s="59" customFormat="1" x14ac:dyDescent="0.25">
      <c r="A30" s="52"/>
      <c r="B30" s="3"/>
      <c r="C30" s="3"/>
      <c r="D30" s="3"/>
      <c r="E30" s="4"/>
      <c r="F30" s="4"/>
      <c r="G30" s="22" t="s">
        <v>18</v>
      </c>
      <c r="H30" s="5"/>
      <c r="I30" s="60"/>
      <c r="J30" s="3"/>
      <c r="K30" s="3"/>
    </row>
    <row r="31" spans="1:20" s="59" customFormat="1" x14ac:dyDescent="0.25">
      <c r="A31" s="52"/>
      <c r="B31" s="3"/>
      <c r="C31" s="3"/>
      <c r="D31" s="3"/>
      <c r="E31" s="4"/>
      <c r="F31" s="4"/>
      <c r="G31" s="22" t="s">
        <v>22</v>
      </c>
      <c r="H31" s="5"/>
      <c r="I31" s="60"/>
      <c r="J31" s="3"/>
      <c r="K31" s="3"/>
    </row>
    <row r="32" spans="1:20" s="59" customFormat="1" x14ac:dyDescent="0.25">
      <c r="A32" s="52"/>
      <c r="B32" s="3"/>
      <c r="C32" s="3"/>
      <c r="D32" s="3"/>
      <c r="E32" s="4"/>
      <c r="F32" s="4"/>
      <c r="G32" s="22" t="s">
        <v>24</v>
      </c>
      <c r="H32" s="5"/>
      <c r="I32" s="60"/>
      <c r="J32" s="3"/>
      <c r="K32" s="3"/>
    </row>
    <row r="33" spans="1:11" s="59" customFormat="1" x14ac:dyDescent="0.25">
      <c r="A33" s="52"/>
      <c r="B33" s="3"/>
      <c r="C33" s="3"/>
      <c r="D33" s="3"/>
      <c r="E33" s="4"/>
      <c r="F33" s="4"/>
      <c r="G33" s="22" t="s">
        <v>26</v>
      </c>
      <c r="H33" s="5"/>
      <c r="I33" s="60"/>
      <c r="J33" s="3"/>
      <c r="K33" s="3"/>
    </row>
    <row r="34" spans="1:11" s="59" customFormat="1" x14ac:dyDescent="0.25">
      <c r="A34" s="52"/>
      <c r="B34" s="3"/>
      <c r="C34" s="3"/>
      <c r="D34" s="3"/>
      <c r="E34" s="4"/>
      <c r="F34" s="4"/>
      <c r="G34" s="22" t="s">
        <v>28</v>
      </c>
      <c r="H34" s="5"/>
      <c r="I34" s="60"/>
      <c r="J34" s="3"/>
      <c r="K34" s="3"/>
    </row>
    <row r="35" spans="1:11" s="59" customFormat="1" x14ac:dyDescent="0.25">
      <c r="A35" s="52"/>
      <c r="B35" s="3"/>
      <c r="C35" s="3"/>
      <c r="D35" s="3"/>
      <c r="E35" s="4"/>
      <c r="F35" s="4"/>
      <c r="G35" s="22" t="s">
        <v>29</v>
      </c>
      <c r="H35" s="5"/>
      <c r="I35" s="60"/>
      <c r="J35" s="3"/>
      <c r="K35" s="3"/>
    </row>
    <row r="36" spans="1:11" s="59" customFormat="1" x14ac:dyDescent="0.25">
      <c r="A36" s="52"/>
      <c r="B36" s="3"/>
      <c r="C36" s="3"/>
      <c r="D36" s="3"/>
      <c r="E36" s="4"/>
      <c r="F36" s="4"/>
      <c r="G36" s="22" t="s">
        <v>30</v>
      </c>
      <c r="H36" s="5"/>
      <c r="I36" s="60"/>
      <c r="J36" s="3"/>
      <c r="K36" s="3"/>
    </row>
    <row r="37" spans="1:11" s="59" customFormat="1" x14ac:dyDescent="0.25">
      <c r="A37" s="52"/>
      <c r="B37" s="3"/>
      <c r="C37" s="3"/>
      <c r="D37" s="3"/>
      <c r="E37" s="4"/>
      <c r="F37" s="4"/>
      <c r="G37" s="22" t="s">
        <v>31</v>
      </c>
      <c r="H37" s="5"/>
      <c r="I37" s="60"/>
      <c r="J37" s="3"/>
      <c r="K37" s="3"/>
    </row>
    <row r="38" spans="1:11" s="59" customFormat="1" x14ac:dyDescent="0.25">
      <c r="A38" s="52"/>
      <c r="B38" s="3"/>
      <c r="C38" s="3"/>
      <c r="D38" s="3"/>
      <c r="E38" s="4"/>
      <c r="F38" s="4"/>
      <c r="G38" s="22" t="s">
        <v>32</v>
      </c>
      <c r="H38" s="5"/>
      <c r="I38" s="60"/>
      <c r="J38" s="3"/>
      <c r="K38" s="3"/>
    </row>
    <row r="39" spans="1:11" s="59" customFormat="1" x14ac:dyDescent="0.25">
      <c r="A39" s="52"/>
      <c r="B39" s="3"/>
      <c r="C39" s="3"/>
      <c r="D39" s="3"/>
      <c r="E39" s="4"/>
      <c r="F39" s="4"/>
      <c r="G39" s="22" t="s">
        <v>33</v>
      </c>
      <c r="H39" s="5"/>
      <c r="I39" s="60"/>
      <c r="J39" s="3"/>
      <c r="K39" s="3"/>
    </row>
    <row r="40" spans="1:11" ht="18.75" x14ac:dyDescent="0.3">
      <c r="C40" s="61"/>
      <c r="D40" s="2"/>
      <c r="E40" s="62"/>
      <c r="F40" s="62"/>
      <c r="G40" s="61"/>
      <c r="H40" s="63"/>
    </row>
    <row r="41" spans="1:11" s="64" customFormat="1" ht="47.25" x14ac:dyDescent="0.25">
      <c r="C41" s="65" t="s">
        <v>34</v>
      </c>
      <c r="D41" s="65" t="s">
        <v>35</v>
      </c>
      <c r="E41" s="66" t="s">
        <v>36</v>
      </c>
      <c r="F41" s="66" t="s">
        <v>37</v>
      </c>
      <c r="G41" s="65" t="s">
        <v>2</v>
      </c>
      <c r="H41" s="66" t="s">
        <v>38</v>
      </c>
    </row>
    <row r="42" spans="1:11" x14ac:dyDescent="0.25">
      <c r="A42" s="67"/>
      <c r="C42" s="68"/>
      <c r="D42" s="69"/>
      <c r="E42" s="70"/>
      <c r="F42" s="70"/>
      <c r="G42" s="71"/>
      <c r="H42" s="71"/>
    </row>
    <row r="43" spans="1:11" x14ac:dyDescent="0.25">
      <c r="C43" s="68"/>
      <c r="D43" s="69"/>
      <c r="E43" s="70"/>
      <c r="F43" s="70"/>
      <c r="G43" s="71"/>
      <c r="H43" s="71"/>
    </row>
    <row r="44" spans="1:11" x14ac:dyDescent="0.25">
      <c r="C44" s="68"/>
      <c r="D44" s="69"/>
      <c r="E44" s="70"/>
      <c r="F44" s="70"/>
      <c r="G44" s="71"/>
      <c r="H44" s="71"/>
    </row>
    <row r="45" spans="1:11" x14ac:dyDescent="0.25">
      <c r="C45" s="68"/>
      <c r="D45" s="69"/>
      <c r="E45" s="70"/>
      <c r="F45" s="70"/>
      <c r="G45" s="72"/>
      <c r="H45" s="71"/>
    </row>
    <row r="46" spans="1:11" x14ac:dyDescent="0.25">
      <c r="C46" s="68"/>
      <c r="D46" s="69"/>
      <c r="E46" s="70"/>
      <c r="F46" s="70"/>
      <c r="G46" s="72"/>
      <c r="H46" s="71"/>
    </row>
    <row r="47" spans="1:11" x14ac:dyDescent="0.25">
      <c r="C47" s="68"/>
      <c r="D47" s="69"/>
      <c r="E47" s="70"/>
      <c r="F47" s="70"/>
      <c r="G47" s="72"/>
      <c r="H47" s="71"/>
    </row>
    <row r="48" spans="1:11" x14ac:dyDescent="0.25">
      <c r="C48" s="68"/>
      <c r="D48" s="69"/>
      <c r="E48" s="70"/>
      <c r="F48" s="70"/>
      <c r="G48" s="72"/>
      <c r="H48" s="71"/>
    </row>
    <row r="49" spans="3:8" x14ac:dyDescent="0.25">
      <c r="C49" s="68"/>
      <c r="D49" s="69"/>
      <c r="E49" s="70"/>
      <c r="F49" s="70"/>
      <c r="G49" s="72"/>
      <c r="H49" s="71"/>
    </row>
    <row r="50" spans="3:8" x14ac:dyDescent="0.25">
      <c r="C50" s="73"/>
      <c r="D50" s="73"/>
      <c r="E50" s="74"/>
      <c r="F50" s="74"/>
      <c r="G50" s="72"/>
      <c r="H50" s="71"/>
    </row>
    <row r="51" spans="3:8" x14ac:dyDescent="0.25">
      <c r="C51" s="73"/>
      <c r="D51" s="73"/>
      <c r="E51" s="74"/>
      <c r="F51" s="74"/>
      <c r="G51" s="72"/>
      <c r="H51" s="71"/>
    </row>
    <row r="52" spans="3:8" x14ac:dyDescent="0.25">
      <c r="C52" s="73"/>
      <c r="D52" s="73"/>
      <c r="E52" s="74"/>
      <c r="F52" s="74"/>
      <c r="G52" s="72"/>
      <c r="H52" s="71"/>
    </row>
    <row r="53" spans="3:8" x14ac:dyDescent="0.25">
      <c r="C53" s="73"/>
      <c r="D53" s="73"/>
      <c r="E53" s="74"/>
      <c r="F53" s="74"/>
      <c r="G53" s="72"/>
      <c r="H53" s="71"/>
    </row>
    <row r="54" spans="3:8" x14ac:dyDescent="0.25">
      <c r="C54" s="73"/>
      <c r="D54" s="73"/>
      <c r="E54" s="74"/>
      <c r="F54" s="74"/>
      <c r="G54" s="72"/>
      <c r="H54" s="75"/>
    </row>
    <row r="55" spans="3:8" x14ac:dyDescent="0.25">
      <c r="C55" s="73"/>
      <c r="D55" s="73"/>
      <c r="E55" s="74"/>
      <c r="F55" s="74"/>
      <c r="H55" s="75"/>
    </row>
    <row r="56" spans="3:8" x14ac:dyDescent="0.25">
      <c r="C56" s="73"/>
      <c r="D56" s="73"/>
      <c r="E56" s="74"/>
      <c r="F56" s="74"/>
      <c r="H56" s="75"/>
    </row>
    <row r="57" spans="3:8" x14ac:dyDescent="0.25">
      <c r="C57" s="73"/>
      <c r="D57" s="73"/>
      <c r="E57" s="74"/>
      <c r="F57" s="74"/>
      <c r="H57" s="75"/>
    </row>
    <row r="58" spans="3:8" x14ac:dyDescent="0.25">
      <c r="C58" s="73"/>
      <c r="D58" s="73"/>
      <c r="E58" s="74"/>
      <c r="F58" s="74"/>
      <c r="H58" s="75"/>
    </row>
    <row r="59" spans="3:8" x14ac:dyDescent="0.25">
      <c r="C59" s="73"/>
      <c r="D59" s="73"/>
      <c r="E59" s="74"/>
      <c r="F59" s="74"/>
      <c r="H59" s="75"/>
    </row>
    <row r="60" spans="3:8" x14ac:dyDescent="0.25">
      <c r="C60" s="73"/>
      <c r="D60" s="73"/>
      <c r="E60" s="74"/>
      <c r="F60" s="74"/>
      <c r="H60" s="75"/>
    </row>
    <row r="61" spans="3:8" x14ac:dyDescent="0.25">
      <c r="C61" s="73"/>
      <c r="D61" s="73"/>
      <c r="E61" s="74"/>
      <c r="F61" s="74"/>
      <c r="H61" s="75"/>
    </row>
    <row r="62" spans="3:8" x14ac:dyDescent="0.25">
      <c r="C62" s="73"/>
      <c r="D62" s="73"/>
      <c r="E62" s="74"/>
      <c r="F62" s="74"/>
      <c r="H62" s="75"/>
    </row>
    <row r="63" spans="3:8" x14ac:dyDescent="0.25">
      <c r="C63" s="73"/>
      <c r="D63" s="73"/>
      <c r="E63" s="74"/>
      <c r="F63" s="74"/>
      <c r="H63" s="75"/>
    </row>
    <row r="64" spans="3:8" x14ac:dyDescent="0.25">
      <c r="C64" s="73"/>
      <c r="D64" s="73"/>
      <c r="E64" s="74"/>
      <c r="F64" s="74"/>
      <c r="H64" s="75"/>
    </row>
    <row r="65" spans="3:8" x14ac:dyDescent="0.25">
      <c r="C65" s="73"/>
      <c r="D65" s="73"/>
      <c r="E65" s="74"/>
      <c r="F65" s="74"/>
      <c r="H65" s="75"/>
    </row>
    <row r="66" spans="3:8" x14ac:dyDescent="0.25">
      <c r="C66" s="73"/>
      <c r="D66" s="73"/>
      <c r="E66" s="74"/>
      <c r="F66" s="74"/>
      <c r="H66" s="75"/>
    </row>
    <row r="67" spans="3:8" x14ac:dyDescent="0.25">
      <c r="C67" s="73"/>
      <c r="D67" s="73"/>
      <c r="E67" s="74"/>
      <c r="F67" s="74"/>
      <c r="H67" s="75"/>
    </row>
    <row r="68" spans="3:8" x14ac:dyDescent="0.25">
      <c r="C68" s="73"/>
      <c r="D68" s="73"/>
      <c r="E68" s="74"/>
      <c r="F68" s="74"/>
      <c r="H68" s="75"/>
    </row>
    <row r="69" spans="3:8" x14ac:dyDescent="0.25">
      <c r="C69" s="73"/>
      <c r="D69" s="73"/>
      <c r="E69" s="74"/>
      <c r="F69" s="74"/>
      <c r="H69" s="75"/>
    </row>
    <row r="70" spans="3:8" x14ac:dyDescent="0.25">
      <c r="C70" s="73"/>
      <c r="D70" s="73"/>
      <c r="E70" s="74"/>
      <c r="F70" s="74"/>
      <c r="H70" s="75"/>
    </row>
    <row r="71" spans="3:8" x14ac:dyDescent="0.25">
      <c r="C71" s="73"/>
      <c r="D71" s="73"/>
      <c r="E71" s="74"/>
      <c r="F71" s="74"/>
      <c r="H71" s="75"/>
    </row>
    <row r="72" spans="3:8" x14ac:dyDescent="0.25">
      <c r="C72" s="73"/>
      <c r="D72" s="73"/>
      <c r="E72" s="74"/>
      <c r="F72" s="74"/>
      <c r="H72" s="75"/>
    </row>
    <row r="73" spans="3:8" x14ac:dyDescent="0.25">
      <c r="C73" s="73"/>
      <c r="D73" s="73"/>
      <c r="E73" s="74"/>
      <c r="F73" s="74"/>
      <c r="H73" s="75"/>
    </row>
    <row r="74" spans="3:8" x14ac:dyDescent="0.25">
      <c r="C74" s="73"/>
      <c r="D74" s="73"/>
      <c r="E74" s="74"/>
      <c r="F74" s="74"/>
      <c r="H74" s="75"/>
    </row>
    <row r="75" spans="3:8" x14ac:dyDescent="0.25">
      <c r="C75" s="73"/>
      <c r="D75" s="73"/>
      <c r="E75" s="74"/>
      <c r="F75" s="74"/>
      <c r="H75" s="75"/>
    </row>
    <row r="76" spans="3:8" x14ac:dyDescent="0.25">
      <c r="C76" s="73"/>
      <c r="D76" s="73"/>
      <c r="E76" s="74"/>
      <c r="F76" s="74"/>
      <c r="H76" s="75"/>
    </row>
    <row r="77" spans="3:8" x14ac:dyDescent="0.25">
      <c r="C77" s="73"/>
      <c r="D77" s="73"/>
      <c r="E77" s="74"/>
      <c r="F77" s="74"/>
      <c r="H77" s="75"/>
    </row>
    <row r="78" spans="3:8" x14ac:dyDescent="0.25">
      <c r="C78" s="73"/>
      <c r="D78" s="73"/>
      <c r="E78" s="74"/>
      <c r="F78" s="74"/>
      <c r="H78" s="75"/>
    </row>
    <row r="79" spans="3:8" x14ac:dyDescent="0.25">
      <c r="C79" s="73"/>
      <c r="D79" s="73"/>
      <c r="E79" s="74"/>
      <c r="F79" s="74"/>
      <c r="H79" s="75"/>
    </row>
    <row r="80" spans="3:8" x14ac:dyDescent="0.25">
      <c r="C80" s="73"/>
      <c r="D80" s="73"/>
      <c r="E80" s="74"/>
      <c r="F80" s="74"/>
      <c r="H80" s="75"/>
    </row>
    <row r="81" spans="2:8" x14ac:dyDescent="0.25">
      <c r="B81" s="62"/>
      <c r="C81" s="73"/>
      <c r="D81" s="73"/>
      <c r="E81" s="74"/>
      <c r="F81" s="74"/>
      <c r="H81" s="75"/>
    </row>
    <row r="82" spans="2:8" x14ac:dyDescent="0.25">
      <c r="C82" s="73"/>
      <c r="D82" s="73"/>
      <c r="E82" s="74"/>
      <c r="F82" s="74"/>
      <c r="H82" s="75"/>
    </row>
    <row r="83" spans="2:8" x14ac:dyDescent="0.25">
      <c r="C83" s="73"/>
      <c r="D83" s="73"/>
      <c r="E83" s="74"/>
      <c r="F83" s="74"/>
      <c r="H83" s="75"/>
    </row>
    <row r="84" spans="2:8" x14ac:dyDescent="0.25">
      <c r="C84" s="73"/>
      <c r="D84" s="73"/>
      <c r="E84" s="74"/>
      <c r="F84" s="74"/>
      <c r="H84" s="75"/>
    </row>
    <row r="85" spans="2:8" x14ac:dyDescent="0.25">
      <c r="C85" s="73"/>
      <c r="D85" s="73"/>
      <c r="E85" s="74"/>
      <c r="F85" s="74"/>
      <c r="H85" s="75"/>
    </row>
    <row r="86" spans="2:8" x14ac:dyDescent="0.25">
      <c r="C86" s="73"/>
      <c r="D86" s="73"/>
      <c r="E86" s="74"/>
      <c r="F86" s="74"/>
      <c r="H86" s="75"/>
    </row>
    <row r="87" spans="2:8" x14ac:dyDescent="0.25">
      <c r="C87" s="73"/>
      <c r="D87" s="73"/>
      <c r="E87" s="74"/>
      <c r="F87" s="74"/>
      <c r="H87" s="75"/>
    </row>
    <row r="88" spans="2:8" x14ac:dyDescent="0.25">
      <c r="C88" s="73"/>
      <c r="D88" s="73"/>
      <c r="E88" s="74"/>
      <c r="F88" s="74"/>
      <c r="H88" s="75"/>
    </row>
    <row r="89" spans="2:8" x14ac:dyDescent="0.25">
      <c r="C89" s="73"/>
      <c r="D89" s="73"/>
      <c r="E89" s="74"/>
      <c r="F89" s="74"/>
      <c r="H89" s="75"/>
    </row>
    <row r="90" spans="2:8" x14ac:dyDescent="0.25">
      <c r="C90" s="73"/>
      <c r="D90" s="73"/>
      <c r="E90" s="74"/>
      <c r="F90" s="74"/>
      <c r="H90" s="75"/>
    </row>
    <row r="91" spans="2:8" x14ac:dyDescent="0.25">
      <c r="C91" s="73"/>
      <c r="D91" s="73"/>
      <c r="E91" s="74"/>
      <c r="F91" s="74"/>
      <c r="H91" s="75"/>
    </row>
    <row r="92" spans="2:8" x14ac:dyDescent="0.25">
      <c r="C92" s="73"/>
      <c r="D92" s="73"/>
      <c r="E92" s="74"/>
      <c r="F92" s="74"/>
      <c r="H92" s="75"/>
    </row>
    <row r="93" spans="2:8" x14ac:dyDescent="0.25">
      <c r="C93" s="73"/>
      <c r="D93" s="73"/>
      <c r="E93" s="74"/>
      <c r="F93" s="74"/>
      <c r="H93" s="75"/>
    </row>
    <row r="94" spans="2:8" x14ac:dyDescent="0.25">
      <c r="C94" s="73"/>
      <c r="D94" s="73"/>
      <c r="E94" s="74"/>
      <c r="F94" s="74"/>
      <c r="H94" s="75"/>
    </row>
    <row r="95" spans="2:8" x14ac:dyDescent="0.25">
      <c r="C95" s="73"/>
      <c r="D95" s="73"/>
      <c r="E95" s="74"/>
      <c r="F95" s="74"/>
      <c r="H95" s="75"/>
    </row>
    <row r="96" spans="2:8" x14ac:dyDescent="0.25">
      <c r="C96" s="73"/>
      <c r="D96" s="73"/>
      <c r="E96" s="74"/>
      <c r="F96" s="74"/>
      <c r="H96" s="75"/>
    </row>
    <row r="97" spans="3:8" x14ac:dyDescent="0.25">
      <c r="C97" s="73"/>
      <c r="D97" s="73"/>
      <c r="E97" s="74"/>
      <c r="F97" s="74"/>
      <c r="H97" s="75"/>
    </row>
    <row r="98" spans="3:8" x14ac:dyDescent="0.25">
      <c r="C98" s="73"/>
      <c r="D98" s="73"/>
      <c r="E98" s="74"/>
      <c r="F98" s="74"/>
      <c r="H98" s="75"/>
    </row>
    <row r="99" spans="3:8" x14ac:dyDescent="0.25">
      <c r="C99" s="73"/>
      <c r="D99" s="73"/>
      <c r="E99" s="74"/>
      <c r="F99" s="74"/>
      <c r="H99" s="75"/>
    </row>
    <row r="100" spans="3:8" x14ac:dyDescent="0.25">
      <c r="C100" s="73"/>
      <c r="D100" s="73"/>
      <c r="E100" s="74"/>
      <c r="F100" s="74"/>
      <c r="H100" s="75"/>
    </row>
    <row r="101" spans="3:8" x14ac:dyDescent="0.25">
      <c r="C101" s="73"/>
      <c r="D101" s="73"/>
      <c r="E101" s="74"/>
      <c r="F101" s="74"/>
      <c r="H101" s="75"/>
    </row>
    <row r="102" spans="3:8" x14ac:dyDescent="0.25">
      <c r="C102" s="73"/>
      <c r="D102" s="73"/>
      <c r="E102" s="74"/>
      <c r="F102" s="74"/>
      <c r="H102" s="75"/>
    </row>
    <row r="103" spans="3:8" x14ac:dyDescent="0.25">
      <c r="C103" s="73"/>
      <c r="D103" s="73"/>
      <c r="E103" s="74"/>
      <c r="F103" s="74"/>
      <c r="H103" s="75"/>
    </row>
    <row r="104" spans="3:8" x14ac:dyDescent="0.25">
      <c r="C104" s="73"/>
      <c r="D104" s="73"/>
      <c r="E104" s="74"/>
      <c r="F104" s="74"/>
      <c r="H104" s="75"/>
    </row>
    <row r="105" spans="3:8" x14ac:dyDescent="0.25">
      <c r="C105" s="73"/>
      <c r="D105" s="73"/>
      <c r="E105" s="74"/>
      <c r="F105" s="74"/>
      <c r="H105" s="75"/>
    </row>
    <row r="106" spans="3:8" x14ac:dyDescent="0.25">
      <c r="C106" s="73"/>
      <c r="D106" s="73"/>
      <c r="E106" s="74"/>
      <c r="F106" s="74"/>
      <c r="H106" s="75"/>
    </row>
    <row r="107" spans="3:8" x14ac:dyDescent="0.25">
      <c r="C107" s="73"/>
      <c r="D107" s="73"/>
      <c r="E107" s="74"/>
      <c r="F107" s="74"/>
      <c r="H107" s="75"/>
    </row>
    <row r="108" spans="3:8" x14ac:dyDescent="0.25">
      <c r="C108" s="73"/>
      <c r="D108" s="73"/>
      <c r="E108" s="74"/>
      <c r="F108" s="74"/>
      <c r="H108" s="75"/>
    </row>
    <row r="109" spans="3:8" x14ac:dyDescent="0.25">
      <c r="C109" s="73"/>
      <c r="D109" s="73"/>
      <c r="E109" s="74"/>
      <c r="F109" s="74"/>
      <c r="H109" s="75"/>
    </row>
    <row r="110" spans="3:8" x14ac:dyDescent="0.25">
      <c r="C110" s="73"/>
      <c r="D110" s="73"/>
      <c r="E110" s="74"/>
      <c r="F110" s="74"/>
      <c r="H110" s="75"/>
    </row>
    <row r="111" spans="3:8" x14ac:dyDescent="0.25">
      <c r="C111" s="73"/>
      <c r="D111" s="73"/>
      <c r="E111" s="74"/>
      <c r="F111" s="74"/>
      <c r="H111" s="75"/>
    </row>
    <row r="112" spans="3:8" x14ac:dyDescent="0.25">
      <c r="C112" s="73"/>
      <c r="D112" s="73"/>
      <c r="E112" s="74"/>
      <c r="F112" s="74"/>
      <c r="H112" s="75"/>
    </row>
    <row r="113" spans="3:8" x14ac:dyDescent="0.25">
      <c r="C113" s="73"/>
      <c r="D113" s="73"/>
      <c r="E113" s="74"/>
      <c r="F113" s="74"/>
      <c r="H113" s="75"/>
    </row>
    <row r="114" spans="3:8" x14ac:dyDescent="0.25">
      <c r="C114" s="73"/>
      <c r="D114" s="73"/>
      <c r="E114" s="74"/>
      <c r="F114" s="74"/>
      <c r="H114" s="75"/>
    </row>
    <row r="115" spans="3:8" x14ac:dyDescent="0.25">
      <c r="C115" s="73"/>
      <c r="D115" s="73"/>
      <c r="E115" s="74"/>
      <c r="F115" s="74"/>
      <c r="H115" s="75"/>
    </row>
    <row r="116" spans="3:8" x14ac:dyDescent="0.25">
      <c r="C116" s="77"/>
      <c r="D116" s="77"/>
      <c r="H116" s="75"/>
    </row>
    <row r="117" spans="3:8" x14ac:dyDescent="0.25">
      <c r="C117" s="77"/>
      <c r="D117" s="77"/>
      <c r="H117" s="75"/>
    </row>
    <row r="118" spans="3:8" x14ac:dyDescent="0.25">
      <c r="C118" s="77"/>
      <c r="D118" s="77"/>
      <c r="H118" s="75"/>
    </row>
    <row r="119" spans="3:8" x14ac:dyDescent="0.25">
      <c r="C119" s="77"/>
      <c r="D119" s="77"/>
      <c r="H119" s="75"/>
    </row>
    <row r="120" spans="3:8" x14ac:dyDescent="0.25">
      <c r="C120" s="77"/>
      <c r="D120" s="77"/>
      <c r="H120" s="75"/>
    </row>
    <row r="121" spans="3:8" x14ac:dyDescent="0.25">
      <c r="C121" s="77"/>
      <c r="D121" s="77"/>
      <c r="H121" s="75"/>
    </row>
    <row r="122" spans="3:8" x14ac:dyDescent="0.25">
      <c r="C122" s="77"/>
      <c r="D122" s="77"/>
      <c r="H122" s="75"/>
    </row>
    <row r="123" spans="3:8" x14ac:dyDescent="0.25">
      <c r="C123" s="79"/>
      <c r="D123" s="79"/>
      <c r="H123" s="75"/>
    </row>
    <row r="124" spans="3:8" x14ac:dyDescent="0.25">
      <c r="C124" s="80"/>
      <c r="D124" s="80"/>
      <c r="H124" s="75"/>
    </row>
    <row r="125" spans="3:8" x14ac:dyDescent="0.25">
      <c r="C125" s="77"/>
      <c r="D125" s="77"/>
      <c r="H125" s="75"/>
    </row>
    <row r="126" spans="3:8" x14ac:dyDescent="0.25">
      <c r="C126" s="77"/>
      <c r="D126" s="77"/>
      <c r="H126" s="75"/>
    </row>
    <row r="127" spans="3:8" x14ac:dyDescent="0.25">
      <c r="C127" s="77"/>
      <c r="D127" s="77"/>
      <c r="H127" s="75"/>
    </row>
    <row r="128" spans="3:8" x14ac:dyDescent="0.25">
      <c r="C128" s="77"/>
      <c r="D128" s="77"/>
      <c r="H128" s="75"/>
    </row>
    <row r="129" spans="3:8" x14ac:dyDescent="0.25">
      <c r="C129" s="77"/>
      <c r="D129" s="77"/>
      <c r="H129" s="75"/>
    </row>
    <row r="130" spans="3:8" x14ac:dyDescent="0.25">
      <c r="C130" s="77"/>
      <c r="D130" s="77"/>
      <c r="H130" s="75"/>
    </row>
    <row r="131" spans="3:8" x14ac:dyDescent="0.25">
      <c r="C131" s="77"/>
      <c r="D131" s="77"/>
      <c r="H131" s="75"/>
    </row>
    <row r="132" spans="3:8" x14ac:dyDescent="0.25">
      <c r="C132" s="77"/>
      <c r="D132" s="77"/>
      <c r="H132" s="75"/>
    </row>
    <row r="133" spans="3:8" x14ac:dyDescent="0.25">
      <c r="C133" s="77"/>
      <c r="D133" s="77"/>
      <c r="H133" s="75"/>
    </row>
    <row r="134" spans="3:8" x14ac:dyDescent="0.25">
      <c r="C134" s="77"/>
      <c r="D134" s="77"/>
      <c r="H134" s="75"/>
    </row>
    <row r="135" spans="3:8" x14ac:dyDescent="0.25">
      <c r="C135" s="77"/>
      <c r="D135" s="77"/>
      <c r="H135" s="75"/>
    </row>
    <row r="136" spans="3:8" x14ac:dyDescent="0.25">
      <c r="C136" s="77"/>
      <c r="D136" s="77"/>
      <c r="H136" s="75"/>
    </row>
    <row r="137" spans="3:8" x14ac:dyDescent="0.25">
      <c r="C137" s="77"/>
      <c r="D137" s="77"/>
      <c r="H137" s="75"/>
    </row>
    <row r="138" spans="3:8" x14ac:dyDescent="0.25">
      <c r="C138" s="77"/>
      <c r="D138" s="77"/>
      <c r="H138" s="75"/>
    </row>
    <row r="139" spans="3:8" x14ac:dyDescent="0.25">
      <c r="C139" s="77"/>
      <c r="D139" s="77"/>
      <c r="H139" s="75"/>
    </row>
    <row r="140" spans="3:8" x14ac:dyDescent="0.25">
      <c r="H140" s="75"/>
    </row>
    <row r="141" spans="3:8" x14ac:dyDescent="0.25">
      <c r="H141" s="75"/>
    </row>
    <row r="142" spans="3:8" x14ac:dyDescent="0.25">
      <c r="H142" s="75"/>
    </row>
    <row r="143" spans="3:8" x14ac:dyDescent="0.25">
      <c r="H143" s="75"/>
    </row>
    <row r="144" spans="3:8" x14ac:dyDescent="0.25">
      <c r="H144" s="75"/>
    </row>
    <row r="145" spans="8:8" x14ac:dyDescent="0.25">
      <c r="H145" s="75"/>
    </row>
    <row r="146" spans="8:8" x14ac:dyDescent="0.25">
      <c r="H146" s="75"/>
    </row>
    <row r="147" spans="8:8" x14ac:dyDescent="0.25">
      <c r="H147" s="75"/>
    </row>
    <row r="148" spans="8:8" x14ac:dyDescent="0.25">
      <c r="H148" s="75"/>
    </row>
    <row r="149" spans="8:8" x14ac:dyDescent="0.25">
      <c r="H149" s="75"/>
    </row>
    <row r="150" spans="8:8" x14ac:dyDescent="0.25">
      <c r="H150" s="75"/>
    </row>
    <row r="151" spans="8:8" x14ac:dyDescent="0.25">
      <c r="H151" s="75"/>
    </row>
    <row r="152" spans="8:8" x14ac:dyDescent="0.25">
      <c r="H152" s="75"/>
    </row>
    <row r="153" spans="8:8" x14ac:dyDescent="0.25">
      <c r="H153" s="75"/>
    </row>
    <row r="154" spans="8:8" x14ac:dyDescent="0.25">
      <c r="H154" s="75"/>
    </row>
    <row r="155" spans="8:8" x14ac:dyDescent="0.25">
      <c r="H155" s="75"/>
    </row>
    <row r="156" spans="8:8" x14ac:dyDescent="0.25">
      <c r="H156" s="75"/>
    </row>
    <row r="157" spans="8:8" x14ac:dyDescent="0.25">
      <c r="H157" s="75"/>
    </row>
    <row r="158" spans="8:8" x14ac:dyDescent="0.25">
      <c r="H158" s="75"/>
    </row>
    <row r="159" spans="8:8" x14ac:dyDescent="0.25">
      <c r="H159" s="75"/>
    </row>
    <row r="160" spans="8:8" x14ac:dyDescent="0.25">
      <c r="H160" s="75"/>
    </row>
    <row r="161" spans="8:8" x14ac:dyDescent="0.25">
      <c r="H161" s="75"/>
    </row>
    <row r="162" spans="8:8" x14ac:dyDescent="0.25">
      <c r="H162" s="75"/>
    </row>
    <row r="163" spans="8:8" x14ac:dyDescent="0.25">
      <c r="H163" s="75"/>
    </row>
    <row r="164" spans="8:8" x14ac:dyDescent="0.25">
      <c r="H164" s="75"/>
    </row>
    <row r="165" spans="8:8" x14ac:dyDescent="0.25">
      <c r="H165" s="75"/>
    </row>
    <row r="166" spans="8:8" x14ac:dyDescent="0.25">
      <c r="H166" s="75"/>
    </row>
    <row r="167" spans="8:8" x14ac:dyDescent="0.25">
      <c r="H167" s="75"/>
    </row>
    <row r="168" spans="8:8" x14ac:dyDescent="0.25">
      <c r="H168" s="75"/>
    </row>
    <row r="169" spans="8:8" x14ac:dyDescent="0.25">
      <c r="H169" s="75"/>
    </row>
    <row r="170" spans="8:8" x14ac:dyDescent="0.25">
      <c r="H170" s="75"/>
    </row>
    <row r="171" spans="8:8" x14ac:dyDescent="0.25">
      <c r="H171" s="75"/>
    </row>
    <row r="172" spans="8:8" x14ac:dyDescent="0.25">
      <c r="H172" s="75"/>
    </row>
    <row r="173" spans="8:8" x14ac:dyDescent="0.25">
      <c r="H173" s="75"/>
    </row>
    <row r="174" spans="8:8" x14ac:dyDescent="0.25">
      <c r="H174" s="75"/>
    </row>
    <row r="175" spans="8:8" x14ac:dyDescent="0.25">
      <c r="H175" s="75"/>
    </row>
    <row r="176" spans="8:8" x14ac:dyDescent="0.25">
      <c r="H176" s="75"/>
    </row>
    <row r="177" spans="8:8" x14ac:dyDescent="0.25">
      <c r="H177" s="75"/>
    </row>
    <row r="178" spans="8:8" x14ac:dyDescent="0.25">
      <c r="H178" s="75"/>
    </row>
    <row r="179" spans="8:8" x14ac:dyDescent="0.25">
      <c r="H179" s="75"/>
    </row>
    <row r="180" spans="8:8" x14ac:dyDescent="0.25">
      <c r="H180" s="75"/>
    </row>
    <row r="181" spans="8:8" x14ac:dyDescent="0.25">
      <c r="H181" s="75"/>
    </row>
    <row r="182" spans="8:8" x14ac:dyDescent="0.25">
      <c r="H182" s="75"/>
    </row>
    <row r="183" spans="8:8" x14ac:dyDescent="0.25">
      <c r="H183" s="75"/>
    </row>
    <row r="184" spans="8:8" x14ac:dyDescent="0.25">
      <c r="H184" s="75"/>
    </row>
    <row r="185" spans="8:8" x14ac:dyDescent="0.25">
      <c r="H185" s="75"/>
    </row>
    <row r="186" spans="8:8" x14ac:dyDescent="0.25">
      <c r="H186" s="75"/>
    </row>
    <row r="187" spans="8:8" x14ac:dyDescent="0.25">
      <c r="H187" s="75"/>
    </row>
    <row r="188" spans="8:8" x14ac:dyDescent="0.25">
      <c r="H188" s="75"/>
    </row>
    <row r="189" spans="8:8" x14ac:dyDescent="0.25">
      <c r="H189" s="75"/>
    </row>
    <row r="190" spans="8:8" x14ac:dyDescent="0.25">
      <c r="H190" s="75"/>
    </row>
    <row r="191" spans="8:8" x14ac:dyDescent="0.25">
      <c r="H191" s="75"/>
    </row>
    <row r="192" spans="8:8" x14ac:dyDescent="0.25">
      <c r="H192" s="75"/>
    </row>
    <row r="193" spans="8:8" x14ac:dyDescent="0.25">
      <c r="H193" s="75"/>
    </row>
    <row r="194" spans="8:8" x14ac:dyDescent="0.25">
      <c r="H194" s="75"/>
    </row>
    <row r="195" spans="8:8" x14ac:dyDescent="0.25">
      <c r="H195" s="75"/>
    </row>
    <row r="196" spans="8:8" x14ac:dyDescent="0.25">
      <c r="H196" s="75"/>
    </row>
    <row r="197" spans="8:8" x14ac:dyDescent="0.25">
      <c r="H197" s="75"/>
    </row>
    <row r="198" spans="8:8" x14ac:dyDescent="0.25">
      <c r="H198" s="75"/>
    </row>
    <row r="199" spans="8:8" x14ac:dyDescent="0.25">
      <c r="H199" s="75"/>
    </row>
    <row r="200" spans="8:8" x14ac:dyDescent="0.25">
      <c r="H200" s="75"/>
    </row>
    <row r="201" spans="8:8" x14ac:dyDescent="0.25">
      <c r="H201" s="75"/>
    </row>
    <row r="202" spans="8:8" x14ac:dyDescent="0.25">
      <c r="H202" s="75"/>
    </row>
    <row r="203" spans="8:8" x14ac:dyDescent="0.25">
      <c r="H203" s="75"/>
    </row>
    <row r="204" spans="8:8" x14ac:dyDescent="0.25">
      <c r="H204" s="75"/>
    </row>
    <row r="205" spans="8:8" x14ac:dyDescent="0.25">
      <c r="H205" s="75"/>
    </row>
    <row r="206" spans="8:8" x14ac:dyDescent="0.25">
      <c r="H206" s="75"/>
    </row>
    <row r="207" spans="8:8" x14ac:dyDescent="0.25">
      <c r="H207" s="75"/>
    </row>
    <row r="208" spans="8:8" x14ac:dyDescent="0.25">
      <c r="H208" s="75"/>
    </row>
    <row r="209" spans="8:8" x14ac:dyDescent="0.25">
      <c r="H209" s="75"/>
    </row>
    <row r="210" spans="8:8" x14ac:dyDescent="0.25">
      <c r="H210" s="75"/>
    </row>
    <row r="211" spans="8:8" x14ac:dyDescent="0.25">
      <c r="H211" s="75"/>
    </row>
    <row r="212" spans="8:8" x14ac:dyDescent="0.25">
      <c r="H212" s="75"/>
    </row>
    <row r="213" spans="8:8" x14ac:dyDescent="0.25">
      <c r="H213" s="75"/>
    </row>
    <row r="214" spans="8:8" x14ac:dyDescent="0.25">
      <c r="H214" s="75"/>
    </row>
    <row r="215" spans="8:8" x14ac:dyDescent="0.25">
      <c r="H215" s="75"/>
    </row>
    <row r="216" spans="8:8" x14ac:dyDescent="0.25">
      <c r="H216" s="75"/>
    </row>
    <row r="217" spans="8:8" x14ac:dyDescent="0.25">
      <c r="H217" s="75"/>
    </row>
    <row r="218" spans="8:8" x14ac:dyDescent="0.25">
      <c r="H218" s="75"/>
    </row>
    <row r="219" spans="8:8" x14ac:dyDescent="0.25">
      <c r="H219" s="75"/>
    </row>
    <row r="220" spans="8:8" x14ac:dyDescent="0.25">
      <c r="H220" s="75"/>
    </row>
    <row r="221" spans="8:8" x14ac:dyDescent="0.25">
      <c r="H221" s="75"/>
    </row>
    <row r="222" spans="8:8" x14ac:dyDescent="0.25">
      <c r="H222" s="75"/>
    </row>
    <row r="223" spans="8:8" x14ac:dyDescent="0.25">
      <c r="H223" s="75"/>
    </row>
    <row r="224" spans="8:8" x14ac:dyDescent="0.25">
      <c r="H224" s="75"/>
    </row>
    <row r="225" spans="8:8" x14ac:dyDescent="0.25">
      <c r="H225" s="75"/>
    </row>
    <row r="226" spans="8:8" x14ac:dyDescent="0.25">
      <c r="H226" s="75"/>
    </row>
    <row r="227" spans="8:8" x14ac:dyDescent="0.25">
      <c r="H227" s="75"/>
    </row>
    <row r="228" spans="8:8" x14ac:dyDescent="0.25">
      <c r="H228" s="75"/>
    </row>
    <row r="229" spans="8:8" x14ac:dyDescent="0.25">
      <c r="H229" s="75"/>
    </row>
    <row r="230" spans="8:8" x14ac:dyDescent="0.25">
      <c r="H230" s="75"/>
    </row>
    <row r="231" spans="8:8" x14ac:dyDescent="0.25">
      <c r="H231" s="75"/>
    </row>
    <row r="232" spans="8:8" x14ac:dyDescent="0.25">
      <c r="H232" s="75"/>
    </row>
    <row r="233" spans="8:8" x14ac:dyDescent="0.25">
      <c r="H233" s="75"/>
    </row>
    <row r="234" spans="8:8" x14ac:dyDescent="0.25">
      <c r="H234" s="75"/>
    </row>
    <row r="235" spans="8:8" x14ac:dyDescent="0.25">
      <c r="H235" s="75"/>
    </row>
    <row r="236" spans="8:8" x14ac:dyDescent="0.25">
      <c r="H236" s="75"/>
    </row>
    <row r="237" spans="8:8" x14ac:dyDescent="0.25">
      <c r="H237" s="75"/>
    </row>
    <row r="238" spans="8:8" x14ac:dyDescent="0.25">
      <c r="H238" s="75"/>
    </row>
    <row r="239" spans="8:8" x14ac:dyDescent="0.25">
      <c r="H239" s="75"/>
    </row>
    <row r="240" spans="8:8" x14ac:dyDescent="0.25">
      <c r="H240" s="75"/>
    </row>
    <row r="241" spans="8:8" x14ac:dyDescent="0.25">
      <c r="H241" s="75"/>
    </row>
    <row r="242" spans="8:8" x14ac:dyDescent="0.25">
      <c r="H242" s="75"/>
    </row>
    <row r="243" spans="8:8" x14ac:dyDescent="0.25">
      <c r="H243" s="75"/>
    </row>
    <row r="244" spans="8:8" x14ac:dyDescent="0.25">
      <c r="H244" s="75"/>
    </row>
    <row r="245" spans="8:8" x14ac:dyDescent="0.25">
      <c r="H245" s="75"/>
    </row>
    <row r="246" spans="8:8" x14ac:dyDescent="0.25">
      <c r="H246" s="75"/>
    </row>
    <row r="247" spans="8:8" x14ac:dyDescent="0.25">
      <c r="H247" s="75"/>
    </row>
    <row r="248" spans="8:8" x14ac:dyDescent="0.25">
      <c r="H248" s="75"/>
    </row>
    <row r="249" spans="8:8" x14ac:dyDescent="0.25">
      <c r="H249" s="75"/>
    </row>
    <row r="250" spans="8:8" x14ac:dyDescent="0.25">
      <c r="H250" s="75"/>
    </row>
    <row r="251" spans="8:8" x14ac:dyDescent="0.25">
      <c r="H251" s="75"/>
    </row>
    <row r="252" spans="8:8" x14ac:dyDescent="0.25">
      <c r="H252" s="75"/>
    </row>
    <row r="253" spans="8:8" x14ac:dyDescent="0.25">
      <c r="H253" s="75"/>
    </row>
    <row r="254" spans="8:8" x14ac:dyDescent="0.25">
      <c r="H254" s="75"/>
    </row>
    <row r="255" spans="8:8" x14ac:dyDescent="0.25">
      <c r="H255" s="75"/>
    </row>
    <row r="256" spans="8:8" x14ac:dyDescent="0.25">
      <c r="H256" s="75"/>
    </row>
    <row r="257" spans="8:8" x14ac:dyDescent="0.25">
      <c r="H257" s="75"/>
    </row>
    <row r="258" spans="8:8" x14ac:dyDescent="0.25">
      <c r="H258" s="75"/>
    </row>
    <row r="259" spans="8:8" x14ac:dyDescent="0.25">
      <c r="H259" s="75"/>
    </row>
    <row r="260" spans="8:8" x14ac:dyDescent="0.25">
      <c r="H260" s="75"/>
    </row>
    <row r="261" spans="8:8" x14ac:dyDescent="0.25">
      <c r="H261" s="75"/>
    </row>
    <row r="262" spans="8:8" x14ac:dyDescent="0.25">
      <c r="H262" s="75"/>
    </row>
    <row r="263" spans="8:8" x14ac:dyDescent="0.25">
      <c r="H263" s="75"/>
    </row>
    <row r="264" spans="8:8" x14ac:dyDescent="0.25">
      <c r="H264" s="75"/>
    </row>
    <row r="265" spans="8:8" x14ac:dyDescent="0.25">
      <c r="H265" s="75"/>
    </row>
    <row r="266" spans="8:8" x14ac:dyDescent="0.25">
      <c r="H266" s="75"/>
    </row>
    <row r="267" spans="8:8" x14ac:dyDescent="0.25">
      <c r="H267" s="75"/>
    </row>
    <row r="268" spans="8:8" x14ac:dyDescent="0.25">
      <c r="H268" s="75"/>
    </row>
    <row r="269" spans="8:8" x14ac:dyDescent="0.25">
      <c r="H269" s="75"/>
    </row>
    <row r="270" spans="8:8" x14ac:dyDescent="0.25">
      <c r="H270" s="75"/>
    </row>
    <row r="271" spans="8:8" x14ac:dyDescent="0.25">
      <c r="H271" s="75"/>
    </row>
    <row r="272" spans="8:8" x14ac:dyDescent="0.25">
      <c r="H272" s="75"/>
    </row>
    <row r="273" spans="8:8" x14ac:dyDescent="0.25">
      <c r="H273" s="75"/>
    </row>
    <row r="274" spans="8:8" x14ac:dyDescent="0.25">
      <c r="H274" s="75"/>
    </row>
    <row r="275" spans="8:8" x14ac:dyDescent="0.25">
      <c r="H275" s="75"/>
    </row>
    <row r="276" spans="8:8" x14ac:dyDescent="0.25">
      <c r="H276" s="75"/>
    </row>
    <row r="277" spans="8:8" x14ac:dyDescent="0.25">
      <c r="H277" s="75"/>
    </row>
    <row r="278" spans="8:8" x14ac:dyDescent="0.25">
      <c r="H278" s="75"/>
    </row>
    <row r="279" spans="8:8" x14ac:dyDescent="0.25">
      <c r="H279" s="75"/>
    </row>
    <row r="280" spans="8:8" x14ac:dyDescent="0.25">
      <c r="H280" s="75"/>
    </row>
    <row r="281" spans="8:8" x14ac:dyDescent="0.25">
      <c r="H281" s="75"/>
    </row>
    <row r="282" spans="8:8" x14ac:dyDescent="0.25">
      <c r="H282" s="75"/>
    </row>
    <row r="283" spans="8:8" x14ac:dyDescent="0.25">
      <c r="H283" s="75"/>
    </row>
    <row r="284" spans="8:8" x14ac:dyDescent="0.25">
      <c r="H284" s="75"/>
    </row>
    <row r="285" spans="8:8" x14ac:dyDescent="0.25">
      <c r="H285" s="75"/>
    </row>
    <row r="286" spans="8:8" x14ac:dyDescent="0.25">
      <c r="H286" s="75"/>
    </row>
    <row r="287" spans="8:8" x14ac:dyDescent="0.25">
      <c r="H287" s="75"/>
    </row>
    <row r="288" spans="8:8" x14ac:dyDescent="0.25">
      <c r="H288" s="75"/>
    </row>
    <row r="289" spans="8:8" x14ac:dyDescent="0.25">
      <c r="H289" s="75"/>
    </row>
    <row r="290" spans="8:8" x14ac:dyDescent="0.25">
      <c r="H290" s="75"/>
    </row>
    <row r="291" spans="8:8" x14ac:dyDescent="0.25">
      <c r="H291" s="75"/>
    </row>
    <row r="292" spans="8:8" x14ac:dyDescent="0.25">
      <c r="H292" s="75"/>
    </row>
    <row r="293" spans="8:8" x14ac:dyDescent="0.25">
      <c r="H293" s="75"/>
    </row>
    <row r="294" spans="8:8" x14ac:dyDescent="0.25">
      <c r="H294" s="75"/>
    </row>
    <row r="295" spans="8:8" x14ac:dyDescent="0.25">
      <c r="H295" s="75"/>
    </row>
    <row r="296" spans="8:8" x14ac:dyDescent="0.25">
      <c r="H296" s="75"/>
    </row>
    <row r="297" spans="8:8" x14ac:dyDescent="0.25">
      <c r="H297" s="75"/>
    </row>
    <row r="298" spans="8:8" x14ac:dyDescent="0.25">
      <c r="H298" s="75"/>
    </row>
    <row r="299" spans="8:8" x14ac:dyDescent="0.25">
      <c r="H299" s="75"/>
    </row>
    <row r="300" spans="8:8" x14ac:dyDescent="0.25">
      <c r="H300" s="75"/>
    </row>
    <row r="301" spans="8:8" x14ac:dyDescent="0.25">
      <c r="H301" s="75"/>
    </row>
    <row r="302" spans="8:8" x14ac:dyDescent="0.25">
      <c r="H302" s="75"/>
    </row>
    <row r="303" spans="8:8" x14ac:dyDescent="0.25">
      <c r="H303" s="75"/>
    </row>
    <row r="304" spans="8:8" x14ac:dyDescent="0.25">
      <c r="H304" s="75"/>
    </row>
    <row r="305" spans="8:8" x14ac:dyDescent="0.25">
      <c r="H305" s="75"/>
    </row>
    <row r="306" spans="8:8" x14ac:dyDescent="0.25">
      <c r="H306" s="75"/>
    </row>
    <row r="307" spans="8:8" x14ac:dyDescent="0.25">
      <c r="H307" s="75"/>
    </row>
    <row r="308" spans="8:8" x14ac:dyDescent="0.25">
      <c r="H308" s="75"/>
    </row>
    <row r="309" spans="8:8" x14ac:dyDescent="0.25">
      <c r="H309" s="75"/>
    </row>
    <row r="310" spans="8:8" x14ac:dyDescent="0.25">
      <c r="H310" s="75"/>
    </row>
    <row r="311" spans="8:8" x14ac:dyDescent="0.25">
      <c r="H311" s="75"/>
    </row>
    <row r="312" spans="8:8" x14ac:dyDescent="0.25">
      <c r="H312" s="75"/>
    </row>
    <row r="313" spans="8:8" x14ac:dyDescent="0.25">
      <c r="H313" s="75"/>
    </row>
    <row r="314" spans="8:8" x14ac:dyDescent="0.25">
      <c r="H314" s="75"/>
    </row>
    <row r="315" spans="8:8" x14ac:dyDescent="0.25">
      <c r="H315" s="75"/>
    </row>
    <row r="316" spans="8:8" x14ac:dyDescent="0.25">
      <c r="H316" s="75"/>
    </row>
    <row r="317" spans="8:8" x14ac:dyDescent="0.25">
      <c r="H317" s="75"/>
    </row>
    <row r="318" spans="8:8" x14ac:dyDescent="0.25">
      <c r="H318" s="75"/>
    </row>
    <row r="319" spans="8:8" x14ac:dyDescent="0.25">
      <c r="H319" s="75"/>
    </row>
    <row r="320" spans="8:8" x14ac:dyDescent="0.25">
      <c r="H320" s="75"/>
    </row>
    <row r="321" spans="8:8" x14ac:dyDescent="0.25">
      <c r="H321" s="75"/>
    </row>
    <row r="322" spans="8:8" x14ac:dyDescent="0.25">
      <c r="H322" s="75"/>
    </row>
    <row r="323" spans="8:8" x14ac:dyDescent="0.25">
      <c r="H323" s="75"/>
    </row>
    <row r="324" spans="8:8" x14ac:dyDescent="0.25">
      <c r="H324" s="75"/>
    </row>
    <row r="325" spans="8:8" x14ac:dyDescent="0.25">
      <c r="H325" s="75"/>
    </row>
    <row r="326" spans="8:8" x14ac:dyDescent="0.25">
      <c r="H326" s="75"/>
    </row>
    <row r="327" spans="8:8" x14ac:dyDescent="0.25">
      <c r="H327" s="75"/>
    </row>
    <row r="328" spans="8:8" x14ac:dyDescent="0.25">
      <c r="H328" s="75"/>
    </row>
    <row r="329" spans="8:8" x14ac:dyDescent="0.25">
      <c r="H329" s="75"/>
    </row>
    <row r="330" spans="8:8" x14ac:dyDescent="0.25">
      <c r="H330" s="75"/>
    </row>
    <row r="331" spans="8:8" x14ac:dyDescent="0.25">
      <c r="H331" s="75"/>
    </row>
    <row r="332" spans="8:8" x14ac:dyDescent="0.25">
      <c r="H332" s="75"/>
    </row>
    <row r="333" spans="8:8" x14ac:dyDescent="0.25">
      <c r="H333" s="75"/>
    </row>
    <row r="334" spans="8:8" x14ac:dyDescent="0.25">
      <c r="H334" s="75"/>
    </row>
    <row r="335" spans="8:8" x14ac:dyDescent="0.25">
      <c r="H335" s="75"/>
    </row>
    <row r="336" spans="8:8" x14ac:dyDescent="0.25">
      <c r="H336" s="75"/>
    </row>
    <row r="337" spans="8:8" x14ac:dyDescent="0.25">
      <c r="H337" s="75"/>
    </row>
    <row r="338" spans="8:8" x14ac:dyDescent="0.25">
      <c r="H338" s="75"/>
    </row>
    <row r="339" spans="8:8" x14ac:dyDescent="0.25">
      <c r="H339" s="75"/>
    </row>
    <row r="340" spans="8:8" x14ac:dyDescent="0.25">
      <c r="H340" s="75"/>
    </row>
    <row r="341" spans="8:8" x14ac:dyDescent="0.25">
      <c r="H341" s="75"/>
    </row>
    <row r="342" spans="8:8" x14ac:dyDescent="0.25">
      <c r="H342" s="75"/>
    </row>
    <row r="343" spans="8:8" x14ac:dyDescent="0.25">
      <c r="H343" s="75"/>
    </row>
  </sheetData>
  <sheetProtection password="CACB" sheet="1" scenarios="1" formatCells="0" formatColumns="0" formatRows="0" insertColumns="0" insertRows="0" insertHyperlinks="0" deleteColumns="0" deleteRows="0" sort="0" autoFilter="0" pivotTables="0"/>
  <protectedRanges>
    <protectedRange password="FE20" sqref="A1" name="Range2"/>
    <protectedRange password="FE20" sqref="G20" name="Range1"/>
  </protectedRanges>
  <mergeCells count="7">
    <mergeCell ref="F19:F20"/>
    <mergeCell ref="D3:E3"/>
    <mergeCell ref="D4:E4"/>
    <mergeCell ref="D5:E5"/>
    <mergeCell ref="F5:F6"/>
    <mergeCell ref="D6:E6"/>
    <mergeCell ref="F13:F14"/>
  </mergeCells>
  <conditionalFormatting sqref="F5:F6">
    <cfRule type="cellIs" dxfId="1" priority="2" operator="equal">
      <formula>"Keep it up"</formula>
    </cfRule>
  </conditionalFormatting>
  <conditionalFormatting sqref="F13:F14">
    <cfRule type="cellIs" dxfId="0" priority="1" operator="equal">
      <formula>"Keep it up"</formula>
    </cfRule>
  </conditionalFormatting>
  <dataValidations count="15">
    <dataValidation type="list" allowBlank="1" showInputMessage="1" showErrorMessage="1" sqref="G42:G1048576 H42:H343">
      <formula1>$G$4:$G$20</formula1>
    </dataValidation>
    <dataValidation allowBlank="1" showInputMessage="1" showErrorMessage="1" prompt="Check on backend tool relating to - Acceptance of positive negative cells, gradable/nongradable, shuffle group, toggle group, Dropdown policy applied, check box etc." sqref="G16 G36"/>
    <dataValidation allowBlank="1" showInputMessage="1" showErrorMessage="1" prompt="Relates to the Journal entries." sqref="G13 G33"/>
    <dataValidation allowBlank="1" showInputMessage="1" showErrorMessage="1" prompt="JE tags for the same dates, descriptions, reference tab, requirement tags etc. " sqref="G12 G32"/>
    <dataValidation allowBlank="1" showInputMessage="1" showErrorMessage="1" prompt="Core consistency check with the text - question information which excludes rephrasing the requirement for online rendering." sqref="G6 G26"/>
    <dataValidation allowBlank="1" showInputMessage="1" showErrorMessage="1" prompt="Calculation issues due to incorrect linking which affects the computation." sqref="G5 G25"/>
    <dataValidation allowBlank="1" showInputMessage="1" showErrorMessage="1" prompt="Consistency for the set-ups, instruction, suffix for the entry fields, formats etc. throughout the chapter or project._x000a_Initial checker/Reviewer should check with the Reviewer/QA's on this." sqref="G11 G31"/>
    <dataValidation allowBlank="1" showInputMessage="1" showErrorMessage="1" prompt="Issues generally observed in questions which are conceptually incorrect. e.g., values generated for the question in dataset/ connect." sqref="G4 G24"/>
    <dataValidation allowBlank="1" showInputMessage="1" showErrorMessage="1" prompt="Duplicate or conflicting distractor, Dropdown option inconsistent with COA, Order of entry issue." sqref="G10 G30"/>
    <dataValidation allowBlank="1" showInputMessage="1" showErrorMessage="1" prompt="Give-away to solve the answer. (Hints/Rollover/CMW)" sqref="G9 G29"/>
    <dataValidation allowBlank="1" showInputMessage="1" showErrorMessage="1" prompt="Incorrect Feedback (CMW/ Post submission/ Explanation)" sqref="G8 G28"/>
    <dataValidation allowBlank="1" showInputMessage="1" showErrorMessage="1" prompt="Missing instruction, Irrelevant instruction to be deleted." sqref="G7 G27"/>
    <dataValidation type="list" allowBlank="1" showInputMessage="1" showErrorMessage="1" sqref="E13">
      <formula1>"Click to select, Yes, No, NA"</formula1>
    </dataValidation>
    <dataValidation allowBlank="1" showInputMessage="1" showErrorMessage="1" prompt="Enter the question count of static + question count of Algo questions as provided in the report." sqref="D7"/>
    <dataValidation type="list" allowBlank="1" showInputMessage="1" showErrorMessage="1" sqref="E11:E12 E14:E17">
      <formula1>"Click to select, Yes, No"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93FF3A56F7AE4CBA769BF037409FEE" ma:contentTypeVersion="2" ma:contentTypeDescription="Create a new document." ma:contentTypeScope="" ma:versionID="e011885beb6ed98be8f3b7216bed857c">
  <xsd:schema xmlns:xsd="http://www.w3.org/2001/XMLSchema" xmlns:xs="http://www.w3.org/2001/XMLSchema" xmlns:p="http://schemas.microsoft.com/office/2006/metadata/properties" xmlns:ns2="bf7bc1bd-317a-4c85-9899-56b9c966ef99" targetNamespace="http://schemas.microsoft.com/office/2006/metadata/properties" ma:root="true" ma:fieldsID="f679dc60f25456995dfa11fc159ba380" ns2:_="">
    <xsd:import namespace="bf7bc1bd-317a-4c85-9899-56b9c966ef9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7bc1bd-317a-4c85-9899-56b9c966ef9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3538418-EE0D-4604-8A8B-E4CD8FB6439B}"/>
</file>

<file path=customXml/itemProps2.xml><?xml version="1.0" encoding="utf-8"?>
<ds:datastoreItem xmlns:ds="http://schemas.openxmlformats.org/officeDocument/2006/customXml" ds:itemID="{14D59D8E-E03A-4D68-A2A0-4C80C665108F}"/>
</file>

<file path=customXml/itemProps3.xml><?xml version="1.0" encoding="utf-8"?>
<ds:datastoreItem xmlns:ds="http://schemas.openxmlformats.org/officeDocument/2006/customXml" ds:itemID="{D36BBBC4-4ADC-4C32-A2DB-AEE400D6870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Legend</vt:lpstr>
      <vt:lpstr>Reviewer's report</vt:lpstr>
      <vt:lpstr>AC Report</vt:lpstr>
      <vt:lpstr>Spotchecks-QA audit</vt:lpstr>
      <vt:lpstr>AC Report-Final</vt:lpstr>
      <vt:lpstr>Report 2</vt:lpstr>
      <vt:lpstr>Unhidden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Mohammed.Khalid@ansrsource.com</dc:creator>
  <cp:lastModifiedBy>ansr</cp:lastModifiedBy>
  <cp:lastPrinted>2014-11-24T16:34:37Z</cp:lastPrinted>
  <dcterms:created xsi:type="dcterms:W3CDTF">2014-02-04T11:14:38Z</dcterms:created>
  <dcterms:modified xsi:type="dcterms:W3CDTF">2016-05-19T07:10:04Z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0x010100EF93FF3A56F7AE4CBA769BF037409FEE</vt:lpwstr>
  </property>
</Properties>
</file>